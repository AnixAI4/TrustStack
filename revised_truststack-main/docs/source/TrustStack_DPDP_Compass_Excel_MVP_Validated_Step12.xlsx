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3c2773f9c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dd8c1dad654094"/>
    <x:sheet xmlns:r="http://schemas.openxmlformats.org/officeDocument/2006/relationships" name="Config" sheetId="2" r:id="R64e34c06651f4c3f"/>
    <x:sheet xmlns:r="http://schemas.openxmlformats.org/officeDocument/2006/relationships" name="Question_Bank" sheetId="3" r:id="R4ccdfc642cec4050"/>
    <x:sheet xmlns:r="http://schemas.openxmlformats.org/officeDocument/2006/relationships" name="Responses" sheetId="4" r:id="R6ddfcf5dc2d0488a"/>
    <x:sheet xmlns:r="http://schemas.openxmlformats.org/officeDocument/2006/relationships" name="Domain_Scoring" sheetId="5" r:id="Ra87a1b59b27d4c81"/>
    <x:sheet xmlns:r="http://schemas.openxmlformats.org/officeDocument/2006/relationships" name="Dashboard" sheetId="6" r:id="R06b2a1a16b3c4d22"/>
    <x:sheet xmlns:r="http://schemas.openxmlformats.org/officeDocument/2006/relationships" name="Gap_Action_Tracker" sheetId="7" r:id="R90294f0072a642c4"/>
    <x:sheet xmlns:r="http://schemas.openxmlformats.org/officeDocument/2006/relationships" name="Evidence_Register" sheetId="8" r:id="Rda9d90f0441e4bb4"/>
    <x:sheet xmlns:r="http://schemas.openxmlformats.org/officeDocument/2006/relationships" name="ROPA_Register" sheetId="9" r:id="R071319ddbd004a96"/>
    <x:sheet xmlns:r="http://schemas.openxmlformats.org/officeDocument/2006/relationships" name="Reassessment_Trend" sheetId="10" r:id="Rc796aaeb6feb41af"/>
    <x:sheet xmlns:r="http://schemas.openxmlformats.org/officeDocument/2006/relationships" name="MU_Overlay" sheetId="11" r:id="R8d624037da054feb"/>
    <x:sheet xmlns:r="http://schemas.openxmlformats.org/officeDocument/2006/relationships" name="References_Legal" sheetId="12" r:id="R57afedb2418f4e14"/>
    <x:sheet xmlns:r="http://schemas.openxmlformats.org/officeDocument/2006/relationships" name="Step12_Validation" sheetId="13" r:id="R39ab481cd9ff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0.0"/>
    <x:numFmt numFmtId="203" formatCode="dd-mmm-yyyy"/>
    <x:numFmt numFmtId="204" formatCode="0.00"/>
    <x:numFmt numFmtId="205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A9D18E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/>
    </x:xf>
    <x:xf numFmtId="0" fontId="5" fillId="2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top"/>
    </x:xf>
    <x:xf numFmtId="0" fontId="4" fillId="7" borderId="0" xfId="0" applyNumberFormat="1" applyFont="1" applyFill="1" applyBorder="1" applyAlignment="1">
      <x:alignment horizontal="center" vertical="top"/>
    </x:xf>
    <x:xf numFmtId="0" fontId="7" fillId="8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horizontal="center" vertical="top"/>
    </x:xf>
    <x:xf numFmtId="0" fontId="7" fillId="10" borderId="0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7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e164960384286" /><Relationship Type="http://schemas.openxmlformats.org/officeDocument/2006/relationships/theme" Target="/xl/theme/theme1.xml" Id="R305fb238e3e240ca" /><Relationship Type="http://schemas.openxmlformats.org/officeDocument/2006/relationships/sharedStrings" Target="/xl/sharedStrings.xml" Id="Re9cc2d7fb1de4197" /><Relationship Type="http://schemas.openxmlformats.org/officeDocument/2006/relationships/worksheet" Target="/xl/worksheets/sheet1.xml" Id="R2cdd8c1dad654094" /><Relationship Type="http://schemas.openxmlformats.org/officeDocument/2006/relationships/worksheet" Target="/xl/worksheets/sheet2.xml" Id="R64e34c06651f4c3f" /><Relationship Type="http://schemas.openxmlformats.org/officeDocument/2006/relationships/worksheet" Target="/xl/worksheets/sheet3.xml" Id="R4ccdfc642cec4050" /><Relationship Type="http://schemas.openxmlformats.org/officeDocument/2006/relationships/worksheet" Target="/xl/worksheets/sheet4.xml" Id="R6ddfcf5dc2d0488a" /><Relationship Type="http://schemas.openxmlformats.org/officeDocument/2006/relationships/worksheet" Target="/xl/worksheets/sheet5.xml" Id="Ra87a1b59b27d4c81" /><Relationship Type="http://schemas.openxmlformats.org/officeDocument/2006/relationships/worksheet" Target="/xl/worksheets/sheet6.xml" Id="R06b2a1a16b3c4d22" /><Relationship Type="http://schemas.openxmlformats.org/officeDocument/2006/relationships/worksheet" Target="/xl/worksheets/sheet7.xml" Id="R90294f0072a642c4" /><Relationship Type="http://schemas.openxmlformats.org/officeDocument/2006/relationships/worksheet" Target="/xl/worksheets/sheet8.xml" Id="Rda9d90f0441e4bb4" /><Relationship Type="http://schemas.openxmlformats.org/officeDocument/2006/relationships/worksheet" Target="/xl/worksheets/sheet9.xml" Id="R071319ddbd004a96" /><Relationship Type="http://schemas.openxmlformats.org/officeDocument/2006/relationships/worksheet" Target="/xl/worksheets/sheet10.xml" Id="Rc796aaeb6feb41af" /><Relationship Type="http://schemas.openxmlformats.org/officeDocument/2006/relationships/worksheet" Target="/xl/worksheets/sheet11.xml" Id="R8d624037da054feb" /><Relationship Type="http://schemas.openxmlformats.org/officeDocument/2006/relationships/worksheet" Target="/xl/worksheets/sheet12.xml" Id="R57afedb2418f4e14" /><Relationship Type="http://schemas.openxmlformats.org/officeDocument/2006/relationships/worksheet" Target="/xl/worksheets/sheet13.xml" Id="R39ab481cd9ff4d1e" /></Relationships>
</file>

<file path=xl/tables/table1.xml><?xml version="1.0" encoding="utf-8"?>
<x:table xmlns:x="http://schemas.openxmlformats.org/spreadsheetml/2006/main" id="1" name="QuestionBankTable" displayName="QuestionBankTable" ref="A1:L99" headerRowCount="1" totalsRowCount="0" totalsRowShown="0">
  <x:tableColumns count="12">
    <x:tableColumn id="1" name="Question ID"/>
    <x:tableColumn id="2" name="Domain ID"/>
    <x:tableColumn id="3" name="Domain"/>
    <x:tableColumn id="4" name="Domain Weight"/>
    <x:tableColumn id="5" name="Default Applicability"/>
    <x:tableColumn id="6" name="Question"/>
    <x:tableColumn id="7" name="Evidence Required"/>
    <x:tableColumn id="8" name="Legal / Control Basis"/>
    <x:tableColumn id="9" name="Criticality"/>
    <x:tableColumn id="10" name="Default Owner"/>
    <x:tableColumn id="11" name="TrustStack Module"/>
    <x:tableColumn id="12" name="Recommended Fi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ponsesTable" displayName="ResponsesTable" ref="A1:Q99" headerRowCount="1" totalsRowCount="0" totalsRowShown="0">
  <x:tableColumns count="17">
    <x:tableColumn id="1" name="Question ID"/>
    <x:tableColumn id="2" name="Domain ID"/>
    <x:tableColumn id="3" name="Domain"/>
    <x:tableColumn id="4" name="Question"/>
    <x:tableColumn id="5" name="Applicability"/>
    <x:tableColumn id="6" name="Maturity Score (0-5)"/>
    <x:tableColumn id="7" name="Evidence Level (0-5)"/>
    <x:tableColumn id="8" name="Evidence Status"/>
    <x:tableColumn id="9" name="Evidence Current"/>
    <x:tableColumn id="10" name="Adjusted Score"/>
    <x:tableColumn id="11" name="Gap Severity"/>
    <x:tableColumn id="12" name="Priority"/>
    <x:tableColumn id="13" name="Owner"/>
    <x:tableColumn id="14" name="Evidence Confidence %"/>
    <x:tableColumn id="15" name="Recommended Fix"/>
    <x:tableColumn id="16" name="TrustStack Module"/>
    <x:tableColumn id="17" name="Evidence Requi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mainScoringTable" displayName="DomainScoringTable" ref="A1:L17" headerRowCount="1" totalsRowCount="0" totalsRowShown="0">
  <x:tableColumns count="12">
    <x:tableColumn id="1" name="Domain ID"/>
    <x:tableColumn id="2" name="Domain"/>
    <x:tableColumn id="3" name="Weight"/>
    <x:tableColumn id="4" name="Applicable Questions"/>
    <x:tableColumn id="5" name="Avg Adjusted Score"/>
    <x:tableColumn id="6" name="Domain Score"/>
    <x:tableColumn id="7" name="Domain %"/>
    <x:tableColumn id="8" name="Maturity Level"/>
    <x:tableColumn id="9" name="Critical Gaps"/>
    <x:tableColumn id="10" name="High Gaps"/>
    <x:tableColumn id="11" name="Evidence Confidence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PATable" displayName="ROPATable" ref="A1:X11" headerRowCount="1" totalsRowCount="0" totalsRowShown="0">
  <x:tableColumns count="24">
    <x:tableColumn id="1" name="ROPA ID"/>
    <x:tableColumn id="2" name="Processing Activity"/>
    <x:tableColumn id="3" name="Department / Owner"/>
    <x:tableColumn id="4" name="Data Principal Type"/>
    <x:tableColumn id="5" name="Personal Data Categories"/>
    <x:tableColumn id="6" name="Purpose"/>
    <x:tableColumn id="7" name="DPDP Basis / Legal Review"/>
    <x:tableColumn id="8" name="Collection Source"/>
    <x:tableColumn id="9" name="System(s)"/>
    <x:tableColumn id="10" name="Processor / Vendor"/>
    <x:tableColumn id="11" name="Sharing / Disclosure"/>
    <x:tableColumn id="12" name="Retention Rule"/>
    <x:tableColumn id="13" name="Security Safeguards"/>
    <x:tableColumn id="14" name="Notice Linked"/>
    <x:tableColumn id="15" name="Consent Linked"/>
    <x:tableColumn id="16" name="Rights Workflow"/>
    <x:tableColumn id="17" name="Grievance Linked"/>
    <x:tableColumn id="18" name="Children Data?"/>
    <x:tableColumn id="19" name="Cross-Border?"/>
    <x:tableColumn id="20" name="AI / Automated?"/>
    <x:tableColumn id="21" name="Evidence"/>
    <x:tableColumn id="22" name="Risk Rating"/>
    <x:tableColumn id="23" name="Last Reviewed"/>
    <x:tableColumn id="24" name="Next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60b5b2bc30c4d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2442742e5d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ba1db20d3564f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eb54e808572042cd" /></Relationships>
</file>

<file path=xl/worksheets/sheet1.xml><?xml version="1.0" encoding="utf-8"?>
<x:worksheet xmlns:x="http://schemas.openxmlformats.org/spreadsheetml/2006/main">
  <x:sheetFormatPr defaultRowHeight="15"/>
  <x:cols>
    <x:col min="1" max="1" width="56.130001068115234" hidden="0" customWidth="1"/>
    <x:col min="2" max="2" width="146.1300048828125" hidden="0" customWidth="1"/>
  </x:cols>
  <x:sheetData>
    <x:row r="1" ht="19.200000762939453" hidden="0" customHeight="1">
      <x:c r="A1" s="52" t="str">
        <x:v>TrustStack™ DPDP Compass – Excel MVP Structure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 ht="15" hidden="0" customHeight="1">
      <x:c r="A2" s="54" t="str">
        <x:v>Purpose</x:v>
      </x:c>
      <x:c r="B2" s="55" t="str">
        <x:v>Evidence-based DPDP readiness assessment, scoring, gap generation, remediation tracking, ROPA, and reassessment model.</x:v>
      </x:c>
      <x:c r="C2" s="55"/>
      <x:c r="D2" s="55"/>
      <x:c r="E2" s="55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 ht="15" hidden="0" customHeight="1">
      <x:c r="A3" s="54" t="str">
        <x:v>Version</x:v>
      </x:c>
      <x:c r="B3" s="55" t="str">
        <x:v>MVP v1.0 – 16-domain model with ROPA</x:v>
      </x:c>
      <x:c r="C3" s="55"/>
      <x:c r="D3" s="55"/>
      <x:c r="E3" s="55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 ht="15" hidden="0" customHeight="1">
      <x:c r="A4" s="54" t="str">
        <x:v>Prepared for</x:v>
      </x:c>
      <x:c r="B4" s="55" t="str">
        <x:v>Anix AI / TrustStack – Mumbai University and reusable organisation assessment</x:v>
      </x:c>
      <x:c r="C4" s="55"/>
      <x:c r="D4" s="55"/>
      <x:c r="E4" s="55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 ht="15" hidden="0" customHeight="1">
      <x:c r="A5" s="54" t="str">
        <x:v>How to use</x:v>
      </x:c>
      <x:c r="B5" s="55" t="str">
        <x:v>1) Review Config 2) Use Question_Bank 3) Fill Responses 4) Review Dashboard and Domain_Scoring 5) Track gaps/actions 6) Maintain ROPA 7) Reassess periodically.</x:v>
      </x:c>
      <x:c r="C5" s="55"/>
      <x:c r="D5" s="55"/>
      <x:c r="E5" s="55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 ht="15" hidden="0" customHeight="1">
      <x:c r="A6" s="54" t="str">
        <x:v>Important caveat</x:v>
      </x:c>
      <x:c r="B6" s="56" t="str">
        <x:v>This workbook is an operational readiness tool. It does not guarantee DPDP compliance and is not a substitute for final legal review by qualified counsel.</x:v>
      </x:c>
      <x:c r="C6" s="56"/>
      <x:c r="D6" s="56"/>
      <x:c r="E6" s="56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 ht="15" hidden="0" customHeight="1">
      <x:c r="A7" s="54" t="str">
        <x:v>Scoring</x:v>
      </x:c>
      <x:c r="B7" s="55" t="str">
        <x:v>Each question uses 0–5 maturity scoring. Evidence level E0–E5 caps maturity. Domain scores are weighted to total 100.</x:v>
      </x:c>
      <x:c r="C7" s="55"/>
      <x:c r="D7" s="55"/>
      <x:c r="E7" s="55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 ht="15" hidden="0" customHeight="1">
      <x:c r="A8" s="54" t="str">
        <x:v>Evidence rule</x:v>
      </x:c>
      <x:c r="B8" s="55" t="str">
        <x:v>No evidence, no high score. Claimed maturity is adjusted by evidence level and freshness.</x:v>
      </x:c>
      <x:c r="C8" s="55"/>
      <x:c r="D8" s="55"/>
      <x:c r="E8" s="55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 ht="15" hidden="0" customHeight="1">
      <x:c r="A9" s="54" t="str">
        <x:v>ROPA</x:v>
      </x:c>
      <x:c r="B9" s="55" t="str">
        <x:v>ROPA is implemented as a dedicated Processing Activity Register module and domain, because processing under DPDP includes collection, storage, use, sharing, disclosure, erasure and destruction.</x:v>
      </x:c>
      <x:c r="C9" s="55"/>
      <x:c r="D9" s="55"/>
      <x:c r="E9" s="55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36" hidden="0" customWidth="1"/>
    <x:col min="3" max="3" width="6" hidden="0" customWidth="1"/>
    <x:col min="4" max="4" width="24.1299991607666" hidden="0" customWidth="1"/>
    <x:col min="5" max="5" width="32" hidden="0" customWidth="1"/>
  </x:cols>
  <x:sheetData>
    <x:row r="1">
      <x:c r="A1" s="52" t="str">
        <x:v>Assessment Parameters</x:v>
      </x:c>
      <x:c r="B1" s="52" t="str"/>
      <x:c r="C1" s="53" t="str"/>
      <x:c r="D1" s="52" t="str">
        <x:v>Lookup Values</x:v>
      </x:c>
      <x:c r="E1" s="52" t="str"/>
      <x:c r="F1" s="52" t="str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4" t="str">
        <x:v>Assessment Name</x:v>
      </x:c>
      <x:c r="B2" s="53" t="str">
        <x:v>Mumbai University DPDP Compass Baseline</x:v>
      </x:c>
      <x:c r="C2" s="53" t="str"/>
      <x:c r="D2" s="54" t="str">
        <x:v>Dropdown Lists</x:v>
      </x:c>
      <x:c r="E2" s="53" t="str"/>
      <x:c r="F2" s="53" t="str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4" t="str">
        <x:v>Organisation</x:v>
      </x:c>
      <x:c r="B3" s="53" t="str">
        <x:v>Mumbai University</x:v>
      </x:c>
      <x:c r="C3" s="53" t="str"/>
      <x:c r="D3" s="54" t="str">
        <x:v>Applicability</x:v>
      </x:c>
      <x:c r="E3" s="53" t="str">
        <x:v>Applicable</x:v>
      </x:c>
      <x:c r="F3" s="53" t="str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4" t="str">
        <x:v>Sector</x:v>
      </x:c>
      <x:c r="B4" s="53" t="str">
        <x:v>Higher Education / University</x:v>
      </x:c>
      <x:c r="C4" s="53" t="str"/>
      <x:c r="D4" s="54" t="str"/>
      <x:c r="E4" s="53" t="str">
        <x:v>Conditional</x:v>
      </x:c>
      <x:c r="F4" s="53" t="str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4" t="str">
        <x:v>Assessment Date</x:v>
      </x:c>
      <x:c r="B5" s="62" t="n">
        <x:v>46268</x:v>
      </x:c>
      <x:c r="C5" s="53" t="str"/>
      <x:c r="D5" s="54" t="str"/>
      <x:c r="E5" s="53" t="str">
        <x:v>Not Applicable</x:v>
      </x:c>
      <x:c r="F5" s="53" t="str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4" t="str">
        <x:v>Assessment Type</x:v>
      </x:c>
      <x:c r="B6" s="53" t="str">
        <x:v>Baseline</x:v>
      </x:c>
      <x:c r="C6" s="53" t="str"/>
      <x:c r="D6" s="54" t="str">
        <x:v>Maturity Score</x:v>
      </x:c>
      <x:c r="E6" s="53" t="n">
        <x:v>0</x:v>
      </x:c>
      <x:c r="F6" s="53" t="str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4" t="str">
        <x:v>Assessor</x:v>
      </x:c>
      <x:c r="B7" s="53" t="str">
        <x:v>Anix AI / TrustStack</x:v>
      </x:c>
      <x:c r="C7" s="53" t="str"/>
      <x:c r="D7" s="54" t="str"/>
      <x:c r="E7" s="53" t="n">
        <x:v>1</x:v>
      </x:c>
      <x:c r="F7" s="53" t="str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4" t="str">
        <x:v>Next Reassessment Days</x:v>
      </x:c>
      <x:c r="B8" s="53" t="n">
        <x:v>30</x:v>
      </x:c>
      <x:c r="C8" s="53" t="str"/>
      <x:c r="D8" s="54" t="str"/>
      <x:c r="E8" s="53" t="n">
        <x:v>2</x:v>
      </x:c>
      <x:c r="F8" s="53" t="str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 t="str"/>
      <x:c r="B9" s="53" t="str"/>
      <x:c r="C9" s="53" t="str"/>
      <x:c r="D9" s="54" t="str"/>
      <x:c r="E9" s="53" t="n">
        <x:v>3</x:v>
      </x:c>
      <x:c r="F9" s="53" t="str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 t="str"/>
      <x:c r="B10" s="53" t="str"/>
      <x:c r="C10" s="53" t="str"/>
      <x:c r="D10" s="54" t="str"/>
      <x:c r="E10" s="53" t="n">
        <x:v>4</x:v>
      </x:c>
      <x:c r="F10" s="53" t="str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 t="str"/>
      <x:c r="B11" s="53" t="str"/>
      <x:c r="C11" s="53" t="str"/>
      <x:c r="D11" s="54" t="str"/>
      <x:c r="E11" s="53" t="n">
        <x:v>5</x:v>
      </x:c>
      <x:c r="F11" s="53" t="str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 t="str"/>
      <x:c r="B12" s="53" t="str"/>
      <x:c r="C12" s="53" t="str"/>
      <x:c r="D12" s="54" t="str">
        <x:v>Evidence Status</x:v>
      </x:c>
      <x:c r="E12" s="53" t="str">
        <x:v>Not Provided</x:v>
      </x:c>
      <x:c r="F12" s="53" t="str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 t="str"/>
      <x:c r="B13" s="53" t="str"/>
      <x:c r="C13" s="53" t="str"/>
      <x:c r="D13" s="54" t="str"/>
      <x:c r="E13" s="53" t="str">
        <x:v>Requested</x:v>
      </x:c>
      <x:c r="F13" s="53" t="str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 t="str"/>
      <x:c r="B14" s="53" t="str"/>
      <x:c r="C14" s="53" t="str"/>
      <x:c r="D14" s="54" t="str"/>
      <x:c r="E14" s="53" t="str">
        <x:v>Submitted</x:v>
      </x:c>
      <x:c r="F14" s="53" t="str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 t="str"/>
      <x:c r="B15" s="53" t="str"/>
      <x:c r="C15" s="53" t="str"/>
      <x:c r="D15" s="54" t="str"/>
      <x:c r="E15" s="53" t="str">
        <x:v>Partial</x:v>
      </x:c>
      <x:c r="F15" s="53" t="str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 t="str"/>
      <x:c r="B16" s="53" t="str"/>
      <x:c r="C16" s="53" t="str"/>
      <x:c r="D16" s="54" t="str"/>
      <x:c r="E16" s="53" t="str">
        <x:v>Adequate</x:v>
      </x:c>
      <x:c r="F16" s="53" t="str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 t="str"/>
      <x:c r="B17" s="53" t="str"/>
      <x:c r="C17" s="53" t="str"/>
      <x:c r="D17" s="54" t="str"/>
      <x:c r="E17" s="53" t="str">
        <x:v>Strong</x:v>
      </x:c>
      <x:c r="F17" s="53" t="str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 t="str"/>
      <x:c r="B18" s="53" t="str"/>
      <x:c r="C18" s="53" t="str"/>
      <x:c r="D18" s="54" t="str"/>
      <x:c r="E18" s="53" t="str">
        <x:v>Outdated</x:v>
      </x:c>
      <x:c r="F18" s="53" t="str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 t="str"/>
      <x:c r="B19" s="53" t="str"/>
      <x:c r="C19" s="53" t="str"/>
      <x:c r="D19" s="54" t="str"/>
      <x:c r="E19" s="53" t="str">
        <x:v>Rejected</x:v>
      </x:c>
      <x:c r="F19" s="53" t="str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 t="str"/>
      <x:c r="B20" s="53" t="str"/>
      <x:c r="C20" s="53" t="str"/>
      <x:c r="D20" s="54" t="str">
        <x:v>Evidence Current</x:v>
      </x:c>
      <x:c r="E20" s="53" t="str">
        <x:v>Yes</x:v>
      </x:c>
      <x:c r="F20" s="53" t="str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 t="str"/>
      <x:c r="B21" s="53" t="str"/>
      <x:c r="C21" s="53" t="str"/>
      <x:c r="D21" s="54" t="str"/>
      <x:c r="E21" s="53" t="str">
        <x:v>No</x:v>
      </x:c>
      <x:c r="F21" s="53" t="str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 t="str"/>
      <x:c r="B22" s="53" t="str"/>
      <x:c r="C22" s="53" t="str"/>
      <x:c r="D22" s="54" t="str">
        <x:v>Action Status</x:v>
      </x:c>
      <x:c r="E22" s="53" t="str">
        <x:v>Open</x:v>
      </x:c>
      <x:c r="F22" s="53" t="str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 t="str"/>
      <x:c r="B23" s="53" t="str"/>
      <x:c r="C23" s="53" t="str"/>
      <x:c r="D23" s="54" t="str"/>
      <x:c r="E23" s="53" t="str">
        <x:v>Assigned</x:v>
      </x:c>
      <x:c r="F23" s="53" t="str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 t="str"/>
      <x:c r="B24" s="53" t="str"/>
      <x:c r="C24" s="53" t="str"/>
      <x:c r="D24" s="54" t="str"/>
      <x:c r="E24" s="53" t="str">
        <x:v>In Progress</x:v>
      </x:c>
      <x:c r="F24" s="53" t="str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 t="str"/>
      <x:c r="B25" s="53" t="str"/>
      <x:c r="C25" s="53" t="str"/>
      <x:c r="D25" s="54" t="str"/>
      <x:c r="E25" s="53" t="str">
        <x:v>Evidence Submitted</x:v>
      </x:c>
      <x:c r="F25" s="53" t="str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 t="str"/>
      <x:c r="B26" s="53" t="str"/>
      <x:c r="C26" s="53" t="str"/>
      <x:c r="D26" s="54" t="str"/>
      <x:c r="E26" s="53" t="str">
        <x:v>Under Review</x:v>
      </x:c>
      <x:c r="F26" s="53" t="str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 t="str"/>
      <x:c r="B27" s="53" t="str"/>
      <x:c r="C27" s="53" t="str"/>
      <x:c r="D27" s="54" t="str"/>
      <x:c r="E27" s="53" t="str">
        <x:v>Closed</x:v>
      </x:c>
      <x:c r="F27" s="53" t="str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 t="str"/>
      <x:c r="B28" s="53" t="str"/>
      <x:c r="C28" s="53" t="str"/>
      <x:c r="D28" s="54" t="str"/>
      <x:c r="E28" s="53" t="str">
        <x:v>Reopened</x:v>
      </x:c>
      <x:c r="F28" s="53" t="str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 t="str"/>
      <x:c r="B29" s="53" t="str"/>
      <x:c r="C29" s="53" t="str"/>
      <x:c r="D29" s="54" t="str"/>
      <x:c r="E29" s="53" t="str">
        <x:v>Deferred</x:v>
      </x:c>
      <x:c r="F29" s="53" t="str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 t="str"/>
      <x:c r="B30" s="53" t="str"/>
      <x:c r="C30" s="53" t="str"/>
      <x:c r="D30" s="54" t="str"/>
      <x:c r="E30" s="53" t="str">
        <x:v>Not Applicable</x:v>
      </x:c>
      <x:c r="F30" s="53" t="str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63" t="str">
        <x:v>Domain ID</x:v>
      </x:c>
      <x:c r="B32" s="63" t="str">
        <x:v>Domain</x:v>
      </x:c>
      <x:c r="C32" s="63" t="str">
        <x:v>Weight</x:v>
      </x:c>
      <x:c r="D32" s="63" t="str">
        <x:v>Applicability</x:v>
      </x:c>
      <x:c r="E32" s="63" t="str">
        <x:v>Default Owner</x:v>
      </x:c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5" t="str">
        <x:v>D01</x:v>
      </x:c>
      <x:c r="B33" s="55" t="str">
        <x:v>Governance, accountability and DPDP ownership</x:v>
      </x:c>
      <x:c r="C33" s="55" t="n">
        <x:v>7</x:v>
      </x:c>
      <x:c r="D33" s="55" t="str">
        <x:v>Mandatory</x:v>
      </x:c>
      <x:c r="E33" s="55" t="str">
        <x:v>Executive Sponsor / DPDP Owner</x:v>
      </x:c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5" t="str">
        <x:v>D02</x:v>
      </x:c>
      <x:c r="B34" s="55" t="str">
        <x:v>Personal data discovery and inventory</x:v>
      </x:c>
      <x:c r="C34" s="55" t="n">
        <x:v>8</x:v>
      </x:c>
      <x:c r="D34" s="55" t="str">
        <x:v>Mandatory</x:v>
      </x:c>
      <x:c r="E34" s="55" t="str">
        <x:v>IT + Process Owners</x:v>
      </x:c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5" t="str">
        <x:v>D03</x:v>
      </x:c>
      <x:c r="B35" s="55" t="str">
        <x:v>ROPA / Records of Processing Activities</x:v>
      </x:c>
      <x:c r="C35" s="55" t="n">
        <x:v>6</x:v>
      </x:c>
      <x:c r="D35" s="55" t="str">
        <x:v>Mandatory</x:v>
      </x:c>
      <x:c r="E35" s="55" t="str">
        <x:v>DPDP Owner + Process Owners</x:v>
      </x:c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5" t="str">
        <x:v>D04</x:v>
      </x:c>
      <x:c r="B36" s="55" t="str">
        <x:v>Purpose, lawful basis and data minimisation</x:v>
      </x:c>
      <x:c r="C36" s="55" t="n">
        <x:v>7</x:v>
      </x:c>
      <x:c r="D36" s="55" t="str">
        <x:v>Mandatory</x:v>
      </x:c>
      <x:c r="E36" s="55" t="str">
        <x:v>Legal + Process Owners</x:v>
      </x:c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5" t="str">
        <x:v>D05</x:v>
      </x:c>
      <x:c r="B37" s="55" t="str">
        <x:v>Notice management</x:v>
      </x:c>
      <x:c r="C37" s="55" t="n">
        <x:v>7</x:v>
      </x:c>
      <x:c r="D37" s="55" t="str">
        <x:v>Mandatory</x:v>
      </x:c>
      <x:c r="E37" s="55" t="str">
        <x:v>Legal + IT</x:v>
      </x:c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5" t="str">
        <x:v>D06</x:v>
      </x:c>
      <x:c r="B38" s="55" t="str">
        <x:v>Consent and consent withdrawal</x:v>
      </x:c>
      <x:c r="C38" s="55" t="n">
        <x:v>7</x:v>
      </x:c>
      <x:c r="D38" s="55" t="str">
        <x:v>Conditional</x:v>
      </x:c>
      <x:c r="E38" s="55" t="str">
        <x:v>Legal + IT + Process Owners</x:v>
      </x:c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5" t="str">
        <x:v>D07</x:v>
      </x:c>
      <x:c r="B39" s="55" t="str">
        <x:v>Data Principal rights</x:v>
      </x:c>
      <x:c r="C39" s="55" t="n">
        <x:v>7</x:v>
      </x:c>
      <x:c r="D39" s="55" t="str">
        <x:v>Mandatory</x:v>
      </x:c>
      <x:c r="E39" s="55" t="str">
        <x:v>Legal + Registrar / Customer Ops</x:v>
      </x:c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5" t="str">
        <x:v>D08</x:v>
      </x:c>
      <x:c r="B40" s="55" t="str">
        <x:v>Grievance redressal and contact publication</x:v>
      </x:c>
      <x:c r="C40" s="55" t="n">
        <x:v>5</x:v>
      </x:c>
      <x:c r="D40" s="55" t="str">
        <x:v>Mandatory</x:v>
      </x:c>
      <x:c r="E40" s="55" t="str">
        <x:v>Legal + DPDP Owner</x:v>
      </x:c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5" t="str">
        <x:v>D09</x:v>
      </x:c>
      <x:c r="B41" s="55" t="str">
        <x:v>Retention, erasure and archival</x:v>
      </x:c>
      <x:c r="C41" s="55" t="n">
        <x:v>6</x:v>
      </x:c>
      <x:c r="D41" s="55" t="str">
        <x:v>Mandatory</x:v>
      </x:c>
      <x:c r="E41" s="55" t="str">
        <x:v>Legal + Records Owners + IT</x:v>
      </x:c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5" t="str">
        <x:v>D10</x:v>
      </x:c>
      <x:c r="B42" s="55" t="str">
        <x:v>Data accuracy and quality</x:v>
      </x:c>
      <x:c r="C42" s="55" t="n">
        <x:v>4</x:v>
      </x:c>
      <x:c r="D42" s="55" t="str">
        <x:v>Mandatory</x:v>
      </x:c>
      <x:c r="E42" s="55" t="str">
        <x:v>Data Owners + IT</x:v>
      </x:c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5" t="str">
        <x:v>D11</x:v>
      </x:c>
      <x:c r="B43" s="55" t="str">
        <x:v>Security safeguards</x:v>
      </x:c>
      <x:c r="C43" s="55" t="n">
        <x:v>10</x:v>
      </x:c>
      <x:c r="D43" s="55" t="str">
        <x:v>Mandatory</x:v>
      </x:c>
      <x:c r="E43" s="55" t="str">
        <x:v>IT / CISO / Security</x:v>
      </x:c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5" t="str">
        <x:v>D12</x:v>
      </x:c>
      <x:c r="B44" s="55" t="str">
        <x:v>Personal data breach readiness</x:v>
      </x:c>
      <x:c r="C44" s="55" t="n">
        <x:v>8</x:v>
      </x:c>
      <x:c r="D44" s="55" t="str">
        <x:v>Mandatory</x:v>
      </x:c>
      <x:c r="E44" s="55" t="str">
        <x:v>IT/Security + Legal</x:v>
      </x:c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5" t="str">
        <x:v>D13</x:v>
      </x:c>
      <x:c r="B45" s="55" t="str">
        <x:v>Vendor / Data Processor governance</x:v>
      </x:c>
      <x:c r="C45" s="55" t="n">
        <x:v>7</x:v>
      </x:c>
      <x:c r="D45" s="55" t="str">
        <x:v>Mandatory where vendors exist</x:v>
      </x:c>
      <x:c r="E45" s="55" t="str">
        <x:v>Procurement + Legal + IT</x:v>
      </x:c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5" t="str">
        <x:v>D14</x:v>
      </x:c>
      <x:c r="B46" s="55" t="str">
        <x:v>Children’s data and guardian consent</x:v>
      </x:c>
      <x:c r="C46" s="55" t="n">
        <x:v>4</x:v>
      </x:c>
      <x:c r="D46" s="55" t="str">
        <x:v>Conditional</x:v>
      </x:c>
      <x:c r="E46" s="55" t="str">
        <x:v>Admissions + Legal + IT</x:v>
      </x:c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5" t="str">
        <x:v>D15</x:v>
      </x:c>
      <x:c r="B47" s="55" t="str">
        <x:v>Cross-border transfer and cloud/SaaS risk</x:v>
      </x:c>
      <x:c r="C47" s="55" t="n">
        <x:v>3</x:v>
      </x:c>
      <x:c r="D47" s="55" t="str">
        <x:v>Conditional</x:v>
      </x:c>
      <x:c r="E47" s="55" t="str">
        <x:v>IT + Procurement + Legal</x:v>
      </x:c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5" t="str">
        <x:v>D16</x:v>
      </x:c>
      <x:c r="B48" s="55" t="str">
        <x:v>SDF, DPIA, audit and AI/algorithmic risk readiness</x:v>
      </x:c>
      <x:c r="C48" s="55" t="n">
        <x:v>4</x:v>
      </x:c>
      <x:c r="D48" s="55" t="str">
        <x:v>Conditional</x:v>
      </x:c>
      <x:c r="E48" s="55" t="str">
        <x:v>Legal + AI Governance + IT</x:v>
      </x:c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B1"/>
    <x:mergeCell ref="D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8.630000114440918" hidden="0" customWidth="1"/>
    <x:col min="3" max="3" width="32" hidden="0" customWidth="1"/>
    <x:col min="4" max="4" width="12.380000114440918" hidden="0" customWidth="1"/>
    <x:col min="5" max="5" width="24.1299991607666" hidden="0" customWidth="1"/>
    <x:col min="6" max="6" width="52" hidden="0" customWidth="1"/>
    <x:col min="7" max="7" width="32" hidden="0" customWidth="1"/>
    <x:col min="8" max="8" width="40" hidden="0" customWidth="1"/>
    <x:col min="9" max="9" width="7.75" hidden="0" customWidth="1"/>
    <x:col min="10" max="10" width="28" hidden="0" customWidth="1"/>
    <x:col min="11" max="11" width="28" hidden="0" customWidth="1"/>
    <x:col min="12" max="12" width="45" hidden="0" customWidth="1"/>
  </x:cols>
  <x:sheetData>
    <x:row r="1">
      <x:c r="A1" s="63" t="str">
        <x:v>Question ID</x:v>
      </x:c>
      <x:c r="B1" s="63" t="str">
        <x:v>Domain ID</x:v>
      </x:c>
      <x:c r="C1" s="63" t="str">
        <x:v>Domain</x:v>
      </x:c>
      <x:c r="D1" s="63" t="str">
        <x:v>Domain Weight</x:v>
      </x:c>
      <x:c r="E1" s="63" t="str">
        <x:v>Default Applicability</x:v>
      </x:c>
      <x:c r="F1" s="63" t="str">
        <x:v>Question</x:v>
      </x:c>
      <x:c r="G1" s="63" t="str">
        <x:v>Evidence Required</x:v>
      </x:c>
      <x:c r="H1" s="63" t="str">
        <x:v>Legal / Control Basis</x:v>
      </x:c>
      <x:c r="I1" s="63" t="str">
        <x:v>Criticality</x:v>
      </x:c>
      <x:c r="J1" s="63" t="str">
        <x:v>Default Owner</x:v>
      </x:c>
      <x:c r="K1" s="63" t="str">
        <x:v>TrustStack Module</x:v>
      </x:c>
      <x:c r="L1" s="63" t="str">
        <x:v>Recommended Fix</x:v>
      </x:c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G1.1</x:v>
      </x:c>
      <x:c r="B2" s="55" t="str">
        <x:v>D01</x:v>
      </x:c>
      <x:c r="C2" s="55" t="str">
        <x:v>Governance, accountability and DPDP ownership</x:v>
      </x:c>
      <x:c r="D2" s="55" t="n">
        <x:v>8</x:v>
      </x:c>
      <x:c r="E2" s="55" t="str">
        <x:v>Mandatory</x:v>
      </x:c>
      <x:c r="F2" s="55" t="str">
        <x:v>Has the organisation identified whether it acts as Data Fiduciary, Data Processor, or both for different processes?</x:v>
      </x:c>
      <x:c r="G2" s="55" t="str">
        <x:v>Role mapping document / fiduciary-processor classification</x:v>
      </x:c>
      <x:c r="H2" s="55" t="str">
        <x:v>Mapped to DPDP Act 2023 / DPDP Rules 2025 operational readiness requirement.</x:v>
      </x:c>
      <x:c r="I2" s="55" t="str">
        <x:v>High</x:v>
      </x:c>
      <x:c r="J2" s="55" t="str">
        <x:v>Executive Sponsor / DPDP Owner</x:v>
      </x:c>
      <x:c r="K2" s="55" t="str">
        <x:v>Governance Repository</x:v>
      </x:c>
      <x:c r="L2" s="55" t="str">
        <x:v>Create role-mapping for each major process and vendor relationship.</x:v>
      </x:c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G1.2</x:v>
      </x:c>
      <x:c r="B3" s="55" t="str">
        <x:v>D01</x:v>
      </x:c>
      <x:c r="C3" s="55" t="str">
        <x:v>Governance, accountability and DPDP ownership</x:v>
      </x:c>
      <x:c r="D3" s="55" t="n">
        <x:v>8</x:v>
      </x:c>
      <x:c r="E3" s="55" t="str">
        <x:v>Mandatory</x:v>
      </x:c>
      <x:c r="F3" s="55" t="str">
        <x:v>Is there a formally nominated DPDP owner or nodal officer?</x:v>
      </x:c>
      <x:c r="G3" s="55" t="str">
        <x:v>Appointment note / office order / email</x:v>
      </x:c>
      <x:c r="H3" s="55" t="str">
        <x:v>Mapped to DPDP Act 2023 / DPDP Rules 2025 operational readiness requirement.</x:v>
      </x:c>
      <x:c r="I3" s="55" t="str">
        <x:v>Critical</x:v>
      </x:c>
      <x:c r="J3" s="55" t="str">
        <x:v>Executive Sponsor / DPDP Owner</x:v>
      </x:c>
      <x:c r="K3" s="55" t="str">
        <x:v>Governance Repository</x:v>
      </x:c>
      <x:c r="L3" s="55" t="str">
        <x:v>Nominate DPDP owner and publish internal responsibility note.</x:v>
      </x:c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G1.3</x:v>
      </x:c>
      <x:c r="B4" s="55" t="str">
        <x:v>D01</x:v>
      </x:c>
      <x:c r="C4" s="55" t="str">
        <x:v>Governance, accountability and DPDP ownership</x:v>
      </x:c>
      <x:c r="D4" s="55" t="n">
        <x:v>8</x:v>
      </x:c>
      <x:c r="E4" s="55" t="str">
        <x:v>Mandatory</x:v>
      </x:c>
      <x:c r="F4" s="55" t="str">
        <x:v>Is there a DPDP steering committee covering legal, IT, security, HR, business/process owners and procurement?</x:v>
      </x:c>
      <x:c r="G4" s="55" t="str">
        <x:v>Committee charter and meeting minutes</x:v>
      </x:c>
      <x:c r="H4" s="55" t="str">
        <x:v>Mapped to DPDP Act 2023 / DPDP Rules 2025 operational readiness requirement.</x:v>
      </x:c>
      <x:c r="I4" s="55" t="str">
        <x:v>High</x:v>
      </x:c>
      <x:c r="J4" s="55" t="str">
        <x:v>Executive Sponsor / DPDP Owner</x:v>
      </x:c>
      <x:c r="K4" s="55" t="str">
        <x:v>Governance Repository</x:v>
      </x:c>
      <x:c r="L4" s="55" t="str">
        <x:v>Create steering committee and monthly review cadence.</x:v>
      </x:c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G1.4</x:v>
      </x:c>
      <x:c r="B5" s="55" t="str">
        <x:v>D01</x:v>
      </x:c>
      <x:c r="C5" s="55" t="str">
        <x:v>Governance, accountability and DPDP ownership</x:v>
      </x:c>
      <x:c r="D5" s="55" t="n">
        <x:v>8</x:v>
      </x:c>
      <x:c r="E5" s="55" t="str">
        <x:v>Mandatory</x:v>
      </x:c>
      <x:c r="F5" s="55" t="str">
        <x:v>Are department/process owners accountable for personal data collected and used in their processes?</x:v>
      </x:c>
      <x:c r="G5" s="55" t="str">
        <x:v>RACI matrix</x:v>
      </x:c>
      <x:c r="H5" s="55" t="str">
        <x:v>Mapped to DPDP Act 2023 / DPDP Rules 2025 operational readiness requirement.</x:v>
      </x:c>
      <x:c r="I5" s="55" t="str">
        <x:v>High</x:v>
      </x:c>
      <x:c r="J5" s="55" t="str">
        <x:v>Executive Sponsor / DPDP Owner</x:v>
      </x:c>
      <x:c r="K5" s="55" t="str">
        <x:v>Governance Repository</x:v>
      </x:c>
      <x:c r="L5" s="55" t="str">
        <x:v>Define RACI across all personal-data processes.</x:v>
      </x:c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G1.5</x:v>
      </x:c>
      <x:c r="B6" s="55" t="str">
        <x:v>D01</x:v>
      </x:c>
      <x:c r="C6" s="55" t="str">
        <x:v>Governance, accountability and DPDP ownership</x:v>
      </x:c>
      <x:c r="D6" s="55" t="n">
        <x:v>8</x:v>
      </x:c>
      <x:c r="E6" s="55" t="str">
        <x:v>Mandatory</x:v>
      </x:c>
      <x:c r="F6" s="55" t="str">
        <x:v>Is DPDP compliance included in management reporting or enterprise risk governance?</x:v>
      </x:c>
      <x:c r="G6" s="55" t="str">
        <x:v>Dashboard / risk review minutes</x:v>
      </x:c>
      <x:c r="H6" s="55" t="str">
        <x:v>Mapped to DPDP Act 2023 / DPDP Rules 2025 operational readiness requirement.</x:v>
      </x:c>
      <x:c r="I6" s="55" t="str">
        <x:v>Medium</x:v>
      </x:c>
      <x:c r="J6" s="55" t="str">
        <x:v>Executive Sponsor / DPDP Owner</x:v>
      </x:c>
      <x:c r="K6" s="55" t="str">
        <x:v>Governance Repository</x:v>
      </x:c>
      <x:c r="L6" s="55" t="str">
        <x:v>Add DPDP score, red flags and overdue actions to leadership review.</x:v>
      </x:c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G1.6</x:v>
      </x:c>
      <x:c r="B7" s="55" t="str">
        <x:v>D01</x:v>
      </x:c>
      <x:c r="C7" s="55" t="str">
        <x:v>Governance, accountability and DPDP ownership</x:v>
      </x:c>
      <x:c r="D7" s="55" t="n">
        <x:v>8</x:v>
      </x:c>
      <x:c r="E7" s="55" t="str">
        <x:v>Mandatory</x:v>
      </x:c>
      <x:c r="F7" s="55" t="str">
        <x:v>Are responsibilities defined for branches, affiliated colleges, subsidiaries or distributed units?</x:v>
      </x:c>
      <x:c r="G7" s="55" t="str">
        <x:v>Responsibility matrix / operating note</x:v>
      </x:c>
      <x:c r="H7" s="55" t="str">
        <x:v>Mapped to DPDP Act 2023 / DPDP Rules 2025 operational readiness requirement.</x:v>
      </x:c>
      <x:c r="I7" s="55" t="str">
        <x:v>High</x:v>
      </x:c>
      <x:c r="J7" s="55" t="str">
        <x:v>Executive Sponsor / DPDP Owner</x:v>
      </x:c>
      <x:c r="K7" s="55" t="str">
        <x:v>Governance Repository</x:v>
      </x:c>
      <x:c r="L7" s="55" t="str">
        <x:v>Create distributed-unit responsibility model and coordinator network.</x:v>
      </x:c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G1.7</x:v>
      </x:c>
      <x:c r="B8" s="55" t="str">
        <x:v>D01</x:v>
      </x:c>
      <x:c r="C8" s="55" t="str">
        <x:v>Governance, accountability and DPDP ownership</x:v>
      </x:c>
      <x:c r="D8" s="55" t="n">
        <x:v>8</x:v>
      </x:c>
      <x:c r="E8" s="55" t="str">
        <x:v>Mandatory</x:v>
      </x:c>
      <x:c r="F8" s="55" t="str">
        <x:v>Is there a budget/resource plan for DPDP remediation and operating controls?</x:v>
      </x:c>
      <x:c r="G8" s="55" t="str">
        <x:v>Budget note / project plan / resource allocation</x:v>
      </x:c>
      <x:c r="H8" s="55" t="str">
        <x:v>Mapped to DPDP Act 2023 / DPDP Rules 2025 operational readiness requirement.</x:v>
      </x:c>
      <x:c r="I8" s="55" t="str">
        <x:v>Medium</x:v>
      </x:c>
      <x:c r="J8" s="55" t="str">
        <x:v>Executive Sponsor / DPDP Owner</x:v>
      </x:c>
      <x:c r="K8" s="55" t="str">
        <x:v>Governance Repository</x:v>
      </x:c>
      <x:c r="L8" s="55" t="str">
        <x:v>Approve budget for assessment, remediation, technology and training.</x:v>
      </x:c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 t="str">
        <x:v>DI1.1</x:v>
      </x:c>
      <x:c r="B9" s="55" t="str">
        <x:v>D02</x:v>
      </x:c>
      <x:c r="C9" s="55" t="str">
        <x:v>Personal data discovery and inventory</x:v>
      </x:c>
      <x:c r="D9" s="55" t="n">
        <x:v>8</x:v>
      </x:c>
      <x:c r="E9" s="55" t="str">
        <x:v>Mandatory</x:v>
      </x:c>
      <x:c r="F9" s="55" t="str">
        <x:v>Has the organisation identified all personal data it collects, stores, uses, shares and deletes?</x:v>
      </x:c>
      <x:c r="G9" s="55" t="str">
        <x:v>Personal data inventory</x:v>
      </x:c>
      <x:c r="H9" s="55" t="str">
        <x:v>Mapped to DPDP Act 2023 / DPDP Rules 2025 operational readiness requirement.</x:v>
      </x:c>
      <x:c r="I9" s="55" t="str">
        <x:v>Critical</x:v>
      </x:c>
      <x:c r="J9" s="55" t="str">
        <x:v>IT + Process Owners</x:v>
      </x:c>
      <x:c r="K9" s="55" t="str">
        <x:v>Data Inventory Register</x:v>
      </x:c>
      <x:c r="L9" s="55" t="str">
        <x:v>Launch enterprise-wide personal data inventory exercise.</x:v>
      </x:c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 t="str">
        <x:v>DI1.2</x:v>
      </x:c>
      <x:c r="B10" s="55" t="str">
        <x:v>D02</x:v>
      </x:c>
      <x:c r="C10" s="55" t="str">
        <x:v>Personal data discovery and inventory</x:v>
      </x:c>
      <x:c r="D10" s="55" t="n">
        <x:v>8</x:v>
      </x:c>
      <x:c r="E10" s="55" t="str">
        <x:v>Mandatory</x:v>
      </x:c>
      <x:c r="F10" s="55" t="str">
        <x:v>Are personal data categories mapped by Data Principal type such as student, applicant, employee, vendor, customer, parent and alumni?</x:v>
      </x:c>
      <x:c r="G10" s="55" t="str">
        <x:v>Data category register</x:v>
      </x:c>
      <x:c r="H10" s="55" t="str">
        <x:v>Mapped to DPDP Act 2023 / DPDP Rules 2025 operational readiness requirement.</x:v>
      </x:c>
      <x:c r="I10" s="55" t="str">
        <x:v>High</x:v>
      </x:c>
      <x:c r="J10" s="55" t="str">
        <x:v>IT + Process Owners</x:v>
      </x:c>
      <x:c r="K10" s="55" t="str">
        <x:v>Data Inventory Register</x:v>
      </x:c>
      <x:c r="L10" s="55" t="str">
        <x:v>Map data categories by Data Principal segment.</x:v>
      </x:c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DI1.3</x:v>
      </x:c>
      <x:c r="B11" s="55" t="str">
        <x:v>D02</x:v>
      </x:c>
      <x:c r="C11" s="55" t="str">
        <x:v>Personal data discovery and inventory</x:v>
      </x:c>
      <x:c r="D11" s="55" t="n">
        <x:v>8</x:v>
      </x:c>
      <x:c r="E11" s="55" t="str">
        <x:v>Mandatory</x:v>
      </x:c>
      <x:c r="F11" s="55" t="str">
        <x:v>Are all collection points mapped, including website forms, apps, ERP, CRM, LMS, HRMS, emails, spreadsheets and APIs?</x:v>
      </x:c>
      <x:c r="G11" s="55" t="str">
        <x:v>Collection-point inventory</x:v>
      </x:c>
      <x:c r="H11" s="55" t="str">
        <x:v>Mapped to DPDP Act 2023 / DPDP Rules 2025 operational readiness requirement.</x:v>
      </x:c>
      <x:c r="I11" s="55" t="str">
        <x:v>High</x:v>
      </x:c>
      <x:c r="J11" s="55" t="str">
        <x:v>IT + Process Owners</x:v>
      </x:c>
      <x:c r="K11" s="55" t="str">
        <x:v>Data Inventory Register</x:v>
      </x:c>
      <x:c r="L11" s="55" t="str">
        <x:v>Create inventory of digital and digitised collection points.</x:v>
      </x:c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str">
        <x:v>DI1.4</x:v>
      </x:c>
      <x:c r="B12" s="55" t="str">
        <x:v>D02</x:v>
      </x:c>
      <x:c r="C12" s="55" t="str">
        <x:v>Personal data discovery and inventory</x:v>
      </x:c>
      <x:c r="D12" s="55" t="n">
        <x:v>8</x:v>
      </x:c>
      <x:c r="E12" s="55" t="str">
        <x:v>Mandatory</x:v>
      </x:c>
      <x:c r="F12" s="55" t="str">
        <x:v>Are systems storing personal data documented with owner, location, access roles and vendor details?</x:v>
      </x:c>
      <x:c r="G12" s="55" t="str">
        <x:v>System inventory</x:v>
      </x:c>
      <x:c r="H12" s="55" t="str">
        <x:v>Mapped to DPDP Act 2023 / DPDP Rules 2025 operational readiness requirement.</x:v>
      </x:c>
      <x:c r="I12" s="55" t="str">
        <x:v>High</x:v>
      </x:c>
      <x:c r="J12" s="55" t="str">
        <x:v>IT + Process Owners</x:v>
      </x:c>
      <x:c r="K12" s="55" t="str">
        <x:v>Data Inventory Register</x:v>
      </x:c>
      <x:c r="L12" s="55" t="str">
        <x:v>Build system register with ownership and location details.</x:v>
      </x:c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DI1.5</x:v>
      </x:c>
      <x:c r="B13" s="55" t="str">
        <x:v>D02</x:v>
      </x:c>
      <x:c r="C13" s="55" t="str">
        <x:v>Personal data discovery and inventory</x:v>
      </x:c>
      <x:c r="D13" s="55" t="n">
        <x:v>8</x:v>
      </x:c>
      <x:c r="E13" s="55" t="str">
        <x:v>Mandatory</x:v>
      </x:c>
      <x:c r="F13" s="55" t="str">
        <x:v>Are personal data flows mapped across departments, vendors, cloud platforms, affiliated entities and external agencies?</x:v>
      </x:c>
      <x:c r="G13" s="55" t="str">
        <x:v>Data-flow map</x:v>
      </x:c>
      <x:c r="H13" s="55" t="str">
        <x:v>Mapped to DPDP Act 2023 / DPDP Rules 2025 operational readiness requirement.</x:v>
      </x:c>
      <x:c r="I13" s="55" t="str">
        <x:v>High</x:v>
      </x:c>
      <x:c r="J13" s="55" t="str">
        <x:v>IT + Process Owners</x:v>
      </x:c>
      <x:c r="K13" s="55" t="str">
        <x:v>Data Inventory Register</x:v>
      </x:c>
      <x:c r="L13" s="55" t="str">
        <x:v>Map internal, external and vendor data flows.</x:v>
      </x:c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str">
        <x:v>DI1.6</x:v>
      </x:c>
      <x:c r="B14" s="55" t="str">
        <x:v>D02</x:v>
      </x:c>
      <x:c r="C14" s="55" t="str">
        <x:v>Personal data discovery and inventory</x:v>
      </x:c>
      <x:c r="D14" s="55" t="n">
        <x:v>8</x:v>
      </x:c>
      <x:c r="E14" s="55" t="str">
        <x:v>Mandatory</x:v>
      </x:c>
      <x:c r="F14" s="55" t="str">
        <x:v>Is there a process to update inventory when new forms, systems, vendors, AI tools or workflows are introduced?</x:v>
      </x:c>
      <x:c r="G14" s="55" t="str">
        <x:v>Change/update SOP</x:v>
      </x:c>
      <x:c r="H14" s="55" t="str">
        <x:v>Mapped to DPDP Act 2023 / DPDP Rules 2025 operational readiness requirement.</x:v>
      </x:c>
      <x:c r="I14" s="55" t="str">
        <x:v>Medium</x:v>
      </x:c>
      <x:c r="J14" s="55" t="str">
        <x:v>IT + Process Owners</x:v>
      </x:c>
      <x:c r="K14" s="55" t="str">
        <x:v>Data Inventory Register</x:v>
      </x:c>
      <x:c r="L14" s="55" t="str">
        <x:v>Add DPDP review to change-management lifecycle.</x:v>
      </x:c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5" t="str">
        <x:v>DI1.7</x:v>
      </x:c>
      <x:c r="B15" s="55" t="str">
        <x:v>D02</x:v>
      </x:c>
      <x:c r="C15" s="55" t="str">
        <x:v>Personal data discovery and inventory</x:v>
      </x:c>
      <x:c r="D15" s="55" t="n">
        <x:v>8</x:v>
      </x:c>
      <x:c r="E15" s="55" t="str">
        <x:v>Mandatory</x:v>
      </x:c>
      <x:c r="F15" s="55" t="str">
        <x:v>Are offline forms that are later digitised included in the data inventory?</x:v>
      </x:c>
      <x:c r="G15" s="55" t="str">
        <x:v>Offline-to-digital inventory evidence</x:v>
      </x:c>
      <x:c r="H15" s="55" t="str">
        <x:v>Mapped to DPDP Act 2023 / DPDP Rules 2025 operational readiness requirement.</x:v>
      </x:c>
      <x:c r="I15" s="55" t="str">
        <x:v>Medium</x:v>
      </x:c>
      <x:c r="J15" s="55" t="str">
        <x:v>IT + Process Owners</x:v>
      </x:c>
      <x:c r="K15" s="55" t="str">
        <x:v>Data Inventory Register</x:v>
      </x:c>
      <x:c r="L15" s="55" t="str">
        <x:v>Include offline collection that is digitised into systems or spreadsheets.</x:v>
      </x:c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 t="str">
        <x:v>ROPA1.1</x:v>
      </x:c>
      <x:c r="B16" s="55" t="str">
        <x:v>D03</x:v>
      </x:c>
      <x:c r="C16" s="55" t="str">
        <x:v>ROPA / Records of Processing Activities</x:v>
      </x:c>
      <x:c r="D16" s="55" t="n">
        <x:v>6</x:v>
      </x:c>
      <x:c r="E16" s="55" t="str">
        <x:v>Mandatory</x:v>
      </x:c>
      <x:c r="F16" s="55" t="str">
        <x:v>Has the organisation created a processing activity register for major personal-data processes?</x:v>
      </x:c>
      <x:c r="G16" s="55" t="str">
        <x:v>ROPA register</x:v>
      </x:c>
      <x:c r="H16" s="55" t="str">
        <x:v>Mapped to DPDP Act 2023 / DPDP Rules 2025 operational readiness requirement.</x:v>
      </x:c>
      <x:c r="I16" s="55" t="str">
        <x:v>Critical</x:v>
      </x:c>
      <x:c r="J16" s="55" t="str">
        <x:v>DPDP Owner + Process Owners</x:v>
      </x:c>
      <x:c r="K16" s="55" t="str">
        <x:v>ROPA / Processing Activity Register</x:v>
      </x:c>
      <x:c r="L16" s="55" t="str">
        <x:v>Create ROPA register covering all major processes.</x:v>
      </x:c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5" t="str">
        <x:v>ROPA1.2</x:v>
      </x:c>
      <x:c r="B17" s="55" t="str">
        <x:v>D03</x:v>
      </x:c>
      <x:c r="C17" s="55" t="str">
        <x:v>ROPA / Records of Processing Activities</x:v>
      </x:c>
      <x:c r="D17" s="55" t="n">
        <x:v>6</x:v>
      </x:c>
      <x:c r="E17" s="55" t="str">
        <x:v>Mandatory</x:v>
      </x:c>
      <x:c r="F17" s="55" t="str">
        <x:v>Does each processing record identify the process owner and department?</x:v>
      </x:c>
      <x:c r="G17" s="55" t="str">
        <x:v>Owner mapping within ROPA</x:v>
      </x:c>
      <x:c r="H17" s="55" t="str">
        <x:v>Mapped to DPDP Act 2023 / DPDP Rules 2025 operational readiness requirement.</x:v>
      </x:c>
      <x:c r="I17" s="55" t="str">
        <x:v>High</x:v>
      </x:c>
      <x:c r="J17" s="55" t="str">
        <x:v>DPDP Owner + Process Owners</x:v>
      </x:c>
      <x:c r="K17" s="55" t="str">
        <x:v>ROPA / Processing Activity Register</x:v>
      </x:c>
      <x:c r="L17" s="55" t="str">
        <x:v>Add department and accountable owner to every processing record.</x:v>
      </x:c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5" t="str">
        <x:v>ROPA1.3</x:v>
      </x:c>
      <x:c r="B18" s="55" t="str">
        <x:v>D03</x:v>
      </x:c>
      <x:c r="C18" s="55" t="str">
        <x:v>ROPA / Records of Processing Activities</x:v>
      </x:c>
      <x:c r="D18" s="55" t="n">
        <x:v>6</x:v>
      </x:c>
      <x:c r="E18" s="55" t="str">
        <x:v>Mandatory</x:v>
      </x:c>
      <x:c r="F18" s="55" t="str">
        <x:v>Does each record identify Data Principal type and personal data categories?</x:v>
      </x:c>
      <x:c r="G18" s="55" t="str">
        <x:v>Data Principal/data category mapping</x:v>
      </x:c>
      <x:c r="H18" s="55" t="str">
        <x:v>Mapped to DPDP Act 2023 / DPDP Rules 2025 operational readiness requirement.</x:v>
      </x:c>
      <x:c r="I18" s="55" t="str">
        <x:v>High</x:v>
      </x:c>
      <x:c r="J18" s="55" t="str">
        <x:v>DPDP Owner + Process Owners</x:v>
      </x:c>
      <x:c r="K18" s="55" t="str">
        <x:v>ROPA / Processing Activity Register</x:v>
      </x:c>
      <x:c r="L18" s="55" t="str">
        <x:v>Add Data Principal segment and personal data categories to ROPA.</x:v>
      </x:c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5" t="str">
        <x:v>ROPA1.4</x:v>
      </x:c>
      <x:c r="B19" s="55" t="str">
        <x:v>D03</x:v>
      </x:c>
      <x:c r="C19" s="55" t="str">
        <x:v>ROPA / Records of Processing Activities</x:v>
      </x:c>
      <x:c r="D19" s="55" t="n">
        <x:v>6</x:v>
      </x:c>
      <x:c r="E19" s="55" t="str">
        <x:v>Mandatory</x:v>
      </x:c>
      <x:c r="F19" s="55" t="str">
        <x:v>Does each record document purpose and DPDP basis / lawful processing basis?</x:v>
      </x:c>
      <x:c r="G19" s="55" t="str">
        <x:v>Purpose and basis mapping</x:v>
      </x:c>
      <x:c r="H19" s="55" t="str">
        <x:v>Mapped to DPDP Act 2023 / DPDP Rules 2025 operational readiness requirement.</x:v>
      </x:c>
      <x:c r="I19" s="55" t="str">
        <x:v>High</x:v>
      </x:c>
      <x:c r="J19" s="55" t="str">
        <x:v>DPDP Owner + Process Owners</x:v>
      </x:c>
      <x:c r="K19" s="55" t="str">
        <x:v>ROPA / Processing Activity Register</x:v>
      </x:c>
      <x:c r="L19" s="55" t="str">
        <x:v>Map every processing activity to purpose and legal/DPDP basis for legal review.</x:v>
      </x:c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5" t="str">
        <x:v>ROPA1.5</x:v>
      </x:c>
      <x:c r="B20" s="55" t="str">
        <x:v>D03</x:v>
      </x:c>
      <x:c r="C20" s="55" t="str">
        <x:v>ROPA / Records of Processing Activities</x:v>
      </x:c>
      <x:c r="D20" s="55" t="n">
        <x:v>6</x:v>
      </x:c>
      <x:c r="E20" s="55" t="str">
        <x:v>Mandatory</x:v>
      </x:c>
      <x:c r="F20" s="55" t="str">
        <x:v>Does each record identify systems, vendors, processors and sharing points?</x:v>
      </x:c>
      <x:c r="G20" s="55" t="str">
        <x:v>System/vendor/data-flow mapping</x:v>
      </x:c>
      <x:c r="H20" s="55" t="str">
        <x:v>Mapped to DPDP Act 2023 / DPDP Rules 2025 operational readiness requirement.</x:v>
      </x:c>
      <x:c r="I20" s="55" t="str">
        <x:v>High</x:v>
      </x:c>
      <x:c r="J20" s="55" t="str">
        <x:v>DPDP Owner + Process Owners</x:v>
      </x:c>
      <x:c r="K20" s="55" t="str">
        <x:v>ROPA / Processing Activity Register</x:v>
      </x:c>
      <x:c r="L20" s="55" t="str">
        <x:v>Add systems, processors and sharing destinations to ROPA.</x:v>
      </x:c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5" t="str">
        <x:v>ROPA1.6</x:v>
      </x:c>
      <x:c r="B21" s="55" t="str">
        <x:v>D03</x:v>
      </x:c>
      <x:c r="C21" s="55" t="str">
        <x:v>ROPA / Records of Processing Activities</x:v>
      </x:c>
      <x:c r="D21" s="55" t="n">
        <x:v>6</x:v>
      </x:c>
      <x:c r="E21" s="55" t="str">
        <x:v>Mandatory</x:v>
      </x:c>
      <x:c r="F21" s="55" t="str">
        <x:v>Does each record include retention, safeguards, notice, consent, rights and grievance linkage?</x:v>
      </x:c>
      <x:c r="G21" s="55" t="str">
        <x:v>Completed ROPA template</x:v>
      </x:c>
      <x:c r="H21" s="55" t="str">
        <x:v>Mapped to DPDP Act 2023 / DPDP Rules 2025 operational readiness requirement.</x:v>
      </x:c>
      <x:c r="I21" s="55" t="str">
        <x:v>High</x:v>
      </x:c>
      <x:c r="J21" s="55" t="str">
        <x:v>DPDP Owner + Process Owners</x:v>
      </x:c>
      <x:c r="K21" s="55" t="str">
        <x:v>ROPA / Processing Activity Register</x:v>
      </x:c>
      <x:c r="L21" s="55" t="str">
        <x:v>Link ROPA to retention, safeguards, notice, consent and rights/grievance workflows.</x:v>
      </x:c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5" t="str">
        <x:v>ROPA1.7</x:v>
      </x:c>
      <x:c r="B22" s="55" t="str">
        <x:v>D03</x:v>
      </x:c>
      <x:c r="C22" s="55" t="str">
        <x:v>ROPA / Records of Processing Activities</x:v>
      </x:c>
      <x:c r="D22" s="55" t="n">
        <x:v>6</x:v>
      </x:c>
      <x:c r="E22" s="55" t="str">
        <x:v>Mandatory</x:v>
      </x:c>
      <x:c r="F22" s="55" t="str">
        <x:v>Is ROPA updated when a new form, system, vendor, AI tool or data-sharing process is introduced?</x:v>
      </x:c>
      <x:c r="G22" s="55" t="str">
        <x:v>Change-management SOP</x:v>
      </x:c>
      <x:c r="H22" s="55" t="str">
        <x:v>Mapped to DPDP Act 2023 / DPDP Rules 2025 operational readiness requirement.</x:v>
      </x:c>
      <x:c r="I22" s="55" t="str">
        <x:v>Medium</x:v>
      </x:c>
      <x:c r="J22" s="55" t="str">
        <x:v>DPDP Owner + Process Owners</x:v>
      </x:c>
      <x:c r="K22" s="55" t="str">
        <x:v>ROPA / Processing Activity Register</x:v>
      </x:c>
      <x:c r="L22" s="55" t="str">
        <x:v>Make ROPA update mandatory in change approvals.</x:v>
      </x:c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5" t="str">
        <x:v>ROPA1.8</x:v>
      </x:c>
      <x:c r="B23" s="55" t="str">
        <x:v>D03</x:v>
      </x:c>
      <x:c r="C23" s="55" t="str">
        <x:v>ROPA / Records of Processing Activities</x:v>
      </x:c>
      <x:c r="D23" s="55" t="n">
        <x:v>6</x:v>
      </x:c>
      <x:c r="E23" s="55" t="str">
        <x:v>Mandatory</x:v>
      </x:c>
      <x:c r="F23" s="55" t="str">
        <x:v>Is ROPA reviewed periodically by DPDP owner or governance committee?</x:v>
      </x:c>
      <x:c r="G23" s="55" t="str">
        <x:v>Review minutes / dashboard</x:v>
      </x:c>
      <x:c r="H23" s="55" t="str">
        <x:v>Mapped to DPDP Act 2023 / DPDP Rules 2025 operational readiness requirement.</x:v>
      </x:c>
      <x:c r="I23" s="55" t="str">
        <x:v>Medium</x:v>
      </x:c>
      <x:c r="J23" s="55" t="str">
        <x:v>DPDP Owner + Process Owners</x:v>
      </x:c>
      <x:c r="K23" s="55" t="str">
        <x:v>ROPA / Processing Activity Register</x:v>
      </x:c>
      <x:c r="L23" s="55" t="str">
        <x:v>Add ROPA review to DPDP governance cadence.</x:v>
      </x:c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5" t="str">
        <x:v>P1.1</x:v>
      </x:c>
      <x:c r="B24" s="55" t="str">
        <x:v>D04</x:v>
      </x:c>
      <x:c r="C24" s="55" t="str">
        <x:v>Purpose, lawful basis and data minimisation</x:v>
      </x:c>
      <x:c r="D24" s="55" t="n">
        <x:v>8</x:v>
      </x:c>
      <x:c r="E24" s="55" t="str">
        <x:v>Mandatory</x:v>
      </x:c>
      <x:c r="F24" s="55" t="str">
        <x:v>Is a specific purpose documented for every category of personal data collected?</x:v>
      </x:c>
      <x:c r="G24" s="55" t="str">
        <x:v>Purpose mapping register</x:v>
      </x:c>
      <x:c r="H24" s="55" t="str">
        <x:v>Mapped to DPDP Act 2023 / DPDP Rules 2025 operational readiness requirement.</x:v>
      </x:c>
      <x:c r="I24" s="55" t="str">
        <x:v>High</x:v>
      </x:c>
      <x:c r="J24" s="55" t="str">
        <x:v>Legal + Process Owners</x:v>
      </x:c>
      <x:c r="K24" s="55" t="str">
        <x:v>Purpose &amp; Lawful Basis Register</x:v>
      </x:c>
      <x:c r="L24" s="55" t="str">
        <x:v>Create data-purpose mapping for every form/process.</x:v>
      </x:c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5" t="str">
        <x:v>P1.2</x:v>
      </x:c>
      <x:c r="B25" s="55" t="str">
        <x:v>D04</x:v>
      </x:c>
      <x:c r="C25" s="55" t="str">
        <x:v>Purpose, lawful basis and data minimisation</x:v>
      </x:c>
      <x:c r="D25" s="55" t="n">
        <x:v>8</x:v>
      </x:c>
      <x:c r="E25" s="55" t="str">
        <x:v>Mandatory</x:v>
      </x:c>
      <x:c r="F25" s="55" t="str">
        <x:v>Has each processing activity been mapped to consent or another legally reviewed DPDP basis?</x:v>
      </x:c>
      <x:c r="G25" s="55" t="str">
        <x:v>Lawful/DPDP basis register</x:v>
      </x:c>
      <x:c r="H25" s="55" t="str">
        <x:v>Mapped to DPDP Act 2023 / DPDP Rules 2025 operational readiness requirement.</x:v>
      </x:c>
      <x:c r="I25" s="55" t="str">
        <x:v>High</x:v>
      </x:c>
      <x:c r="J25" s="55" t="str">
        <x:v>Legal + Process Owners</x:v>
      </x:c>
      <x:c r="K25" s="55" t="str">
        <x:v>Purpose &amp; Lawful Basis Register</x:v>
      </x:c>
      <x:c r="L25" s="55" t="str">
        <x:v>Classify processing basis with legal review.</x:v>
      </x:c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5" t="str">
        <x:v>P1.3</x:v>
      </x:c>
      <x:c r="B26" s="55" t="str">
        <x:v>D04</x:v>
      </x:c>
      <x:c r="C26" s="55" t="str">
        <x:v>Purpose, lawful basis and data minimisation</x:v>
      </x:c>
      <x:c r="D26" s="55" t="n">
        <x:v>8</x:v>
      </x:c>
      <x:c r="E26" s="55" t="str">
        <x:v>Mandatory</x:v>
      </x:c>
      <x:c r="F26" s="55" t="str">
        <x:v>Are unnecessary fields removed from forms and systems?</x:v>
      </x:c>
      <x:c r="G26" s="55" t="str">
        <x:v>Form review report</x:v>
      </x:c>
      <x:c r="H26" s="55" t="str">
        <x:v>Mapped to DPDP Act 2023 / DPDP Rules 2025 operational readiness requirement.</x:v>
      </x:c>
      <x:c r="I26" s="55" t="str">
        <x:v>High</x:v>
      </x:c>
      <x:c r="J26" s="55" t="str">
        <x:v>Legal + Process Owners</x:v>
      </x:c>
      <x:c r="K26" s="55" t="str">
        <x:v>Purpose &amp; Lawful Basis Register</x:v>
      </x:c>
      <x:c r="L26" s="55" t="str">
        <x:v>Remove non-essential fields and record rationale.</x:v>
      </x:c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5" t="str">
        <x:v>P1.4</x:v>
      </x:c>
      <x:c r="B27" s="55" t="str">
        <x:v>D04</x:v>
      </x:c>
      <x:c r="C27" s="55" t="str">
        <x:v>Purpose, lawful basis and data minimisation</x:v>
      </x:c>
      <x:c r="D27" s="55" t="n">
        <x:v>8</x:v>
      </x:c>
      <x:c r="E27" s="55" t="str">
        <x:v>Mandatory</x:v>
      </x:c>
      <x:c r="F27" s="55" t="str">
        <x:v>Are mandatory and optional fields clearly separated?</x:v>
      </x:c>
      <x:c r="G27" s="55" t="str">
        <x:v>Form screenshots / field list</x:v>
      </x:c>
      <x:c r="H27" s="55" t="str">
        <x:v>Mapped to DPDP Act 2023 / DPDP Rules 2025 operational readiness requirement.</x:v>
      </x:c>
      <x:c r="I27" s="55" t="str">
        <x:v>Medium</x:v>
      </x:c>
      <x:c r="J27" s="55" t="str">
        <x:v>Legal + Process Owners</x:v>
      </x:c>
      <x:c r="K27" s="55" t="str">
        <x:v>Purpose &amp; Lawful Basis Register</x:v>
      </x:c>
      <x:c r="L27" s="55" t="str">
        <x:v>Mark mandatory and optional fields in every collection form.</x:v>
      </x:c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5" t="str">
        <x:v>P1.5</x:v>
      </x:c>
      <x:c r="B28" s="55" t="str">
        <x:v>D04</x:v>
      </x:c>
      <x:c r="C28" s="55" t="str">
        <x:v>Purpose, lawful basis and data minimisation</x:v>
      </x:c>
      <x:c r="D28" s="55" t="n">
        <x:v>8</x:v>
      </x:c>
      <x:c r="E28" s="55" t="str">
        <x:v>Mandatory</x:v>
      </x:c>
      <x:c r="F28" s="55" t="str">
        <x:v>Is data used only for the purpose communicated to the Data Principal?</x:v>
      </x:c>
      <x:c r="G28" s="55" t="str">
        <x:v>Notice-purpose mapping</x:v>
      </x:c>
      <x:c r="H28" s="55" t="str">
        <x:v>Mapped to DPDP Act 2023 / DPDP Rules 2025 operational readiness requirement.</x:v>
      </x:c>
      <x:c r="I28" s="55" t="str">
        <x:v>High</x:v>
      </x:c>
      <x:c r="J28" s="55" t="str">
        <x:v>Legal + Process Owners</x:v>
      </x:c>
      <x:c r="K28" s="55" t="str">
        <x:v>Purpose &amp; Lawful Basis Register</x:v>
      </x:c>
      <x:c r="L28" s="55" t="str">
        <x:v>Create control to prevent purpose drift.</x:v>
      </x:c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5" t="str">
        <x:v>P1.6</x:v>
      </x:c>
      <x:c r="B29" s="55" t="str">
        <x:v>D04</x:v>
      </x:c>
      <x:c r="C29" s="55" t="str">
        <x:v>Purpose, lawful basis and data minimisation</x:v>
      </x:c>
      <x:c r="D29" s="55" t="n">
        <x:v>8</x:v>
      </x:c>
      <x:c r="E29" s="55" t="str">
        <x:v>Mandatory</x:v>
      </x:c>
      <x:c r="F29" s="55" t="str">
        <x:v>Is there a review process before adding new data fields to any form, app, ERP, CRM or SaaS workflow?</x:v>
      </x:c>
      <x:c r="G29" s="55" t="str">
        <x:v>Change approval workflow</x:v>
      </x:c>
      <x:c r="H29" s="55" t="str">
        <x:v>Mapped to DPDP Act 2023 / DPDP Rules 2025 operational readiness requirement.</x:v>
      </x:c>
      <x:c r="I29" s="55" t="str">
        <x:v>Medium</x:v>
      </x:c>
      <x:c r="J29" s="55" t="str">
        <x:v>Legal + Process Owners</x:v>
      </x:c>
      <x:c r="K29" s="55" t="str">
        <x:v>Purpose &amp; Lawful Basis Register</x:v>
      </x:c>
      <x:c r="L29" s="55" t="str">
        <x:v>Add privacy review before new data-field deployment.</x:v>
      </x:c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5" t="str">
        <x:v>N1.1</x:v>
      </x:c>
      <x:c r="B30" s="55" t="str">
        <x:v>D05</x:v>
      </x:c>
      <x:c r="C30" s="55" t="str">
        <x:v>Notice management</x:v>
      </x:c>
      <x:c r="D30" s="55" t="n">
        <x:v>7</x:v>
      </x:c>
      <x:c r="E30" s="55" t="str">
        <x:v>Mandatory</x:v>
      </x:c>
      <x:c r="F30" s="55" t="str">
        <x:v>Are notices provided before or at the time of collecting personal data?</x:v>
      </x:c>
      <x:c r="G30" s="55" t="str">
        <x:v>Form screenshots / notice links</x:v>
      </x:c>
      <x:c r="H30" s="55" t="str">
        <x:v>Mapped to DPDP Act 2023 / DPDP Rules 2025 operational readiness requirement.</x:v>
      </x:c>
      <x:c r="I30" s="55" t="str">
        <x:v>Critical</x:v>
      </x:c>
      <x:c r="J30" s="55" t="str">
        <x:v>Legal + IT</x:v>
      </x:c>
      <x:c r="K30" s="55" t="str">
        <x:v>Privacy Notice Register</x:v>
      </x:c>
      <x:c r="L30" s="55" t="str">
        <x:v>Publish notice at every major collection point.</x:v>
      </x:c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5" t="str">
        <x:v>N1.2</x:v>
      </x:c>
      <x:c r="B31" s="55" t="str">
        <x:v>D05</x:v>
      </x:c>
      <x:c r="C31" s="55" t="str">
        <x:v>Notice management</x:v>
      </x:c>
      <x:c r="D31" s="55" t="n">
        <x:v>7</x:v>
      </x:c>
      <x:c r="E31" s="55" t="str">
        <x:v>Mandatory</x:v>
      </x:c>
      <x:c r="F31" s="55" t="str">
        <x:v>Does each notice clearly list what personal data is collected?</x:v>
      </x:c>
      <x:c r="G31" s="55" t="str">
        <x:v>Notice text / data-purpose table</x:v>
      </x:c>
      <x:c r="H31" s="55" t="str">
        <x:v>Mapped to DPDP Act 2023 / DPDP Rules 2025 operational readiness requirement.</x:v>
      </x:c>
      <x:c r="I31" s="55" t="str">
        <x:v>High</x:v>
      </x:c>
      <x:c r="J31" s="55" t="str">
        <x:v>Legal + IT</x:v>
      </x:c>
      <x:c r="K31" s="55" t="str">
        <x:v>Privacy Notice Register</x:v>
      </x:c>
      <x:c r="L31" s="55" t="str">
        <x:v>Add itemised personal data categories to notices.</x:v>
      </x:c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5" t="str">
        <x:v>N1.3</x:v>
      </x:c>
      <x:c r="B32" s="55" t="str">
        <x:v>D05</x:v>
      </x:c>
      <x:c r="C32" s="55" t="str">
        <x:v>Notice management</x:v>
      </x:c>
      <x:c r="D32" s="55" t="n">
        <x:v>7</x:v>
      </x:c>
      <x:c r="E32" s="55" t="str">
        <x:v>Mandatory</x:v>
      </x:c>
      <x:c r="F32" s="55" t="str">
        <x:v>Does each notice clearly state the specific purpose of processing?</x:v>
      </x:c>
      <x:c r="G32" s="55" t="str">
        <x:v>Notice-purpose mapping</x:v>
      </x:c>
      <x:c r="H32" s="55" t="str">
        <x:v>Mapped to DPDP Act 2023 / DPDP Rules 2025 operational readiness requirement.</x:v>
      </x:c>
      <x:c r="I32" s="55" t="str">
        <x:v>High</x:v>
      </x:c>
      <x:c r="J32" s="55" t="str">
        <x:v>Legal + IT</x:v>
      </x:c>
      <x:c r="K32" s="55" t="str">
        <x:v>Privacy Notice Register</x:v>
      </x:c>
      <x:c r="L32" s="55" t="str">
        <x:v>Add purpose language to process-specific notices.</x:v>
      </x:c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5" t="str">
        <x:v>N1.4</x:v>
      </x:c>
      <x:c r="B33" s="55" t="str">
        <x:v>D05</x:v>
      </x:c>
      <x:c r="C33" s="55" t="str">
        <x:v>Notice management</x:v>
      </x:c>
      <x:c r="D33" s="55" t="n">
        <x:v>7</x:v>
      </x:c>
      <x:c r="E33" s="55" t="str">
        <x:v>Mandatory</x:v>
      </x:c>
      <x:c r="F33" s="55" t="str">
        <x:v>Does the notice explain rights, consent withdrawal where applicable, and complaint mechanisms?</x:v>
      </x:c>
      <x:c r="G33" s="55" t="str">
        <x:v>Notice text / links</x:v>
      </x:c>
      <x:c r="H33" s="55" t="str">
        <x:v>Mapped to DPDP Act 2023 / DPDP Rules 2025 operational readiness requirement.</x:v>
      </x:c>
      <x:c r="I33" s="55" t="str">
        <x:v>High</x:v>
      </x:c>
      <x:c r="J33" s="55" t="str">
        <x:v>Legal + IT</x:v>
      </x:c>
      <x:c r="K33" s="55" t="str">
        <x:v>Privacy Notice Register</x:v>
      </x:c>
      <x:c r="L33" s="55" t="str">
        <x:v>Add rights, withdrawal and complaint links to notices.</x:v>
      </x:c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5" t="str">
        <x:v>N1.5</x:v>
      </x:c>
      <x:c r="B34" s="55" t="str">
        <x:v>D05</x:v>
      </x:c>
      <x:c r="C34" s="55" t="str">
        <x:v>Notice management</x:v>
      </x:c>
      <x:c r="D34" s="55" t="n">
        <x:v>7</x:v>
      </x:c>
      <x:c r="E34" s="55" t="str">
        <x:v>Mandatory</x:v>
      </x:c>
      <x:c r="F34" s="55" t="str">
        <x:v>Is notice available in English and relevant Indian languages where needed for the audience?</x:v>
      </x:c>
      <x:c r="G34" s="55" t="str">
        <x:v>Language versions</x:v>
      </x:c>
      <x:c r="H34" s="55" t="str">
        <x:v>Mapped to DPDP Act 2023 / DPDP Rules 2025 operational readiness requirement.</x:v>
      </x:c>
      <x:c r="I34" s="55" t="str">
        <x:v>Medium</x:v>
      </x:c>
      <x:c r="J34" s="55" t="str">
        <x:v>Legal + IT</x:v>
      </x:c>
      <x:c r="K34" s="55" t="str">
        <x:v>Privacy Notice Register</x:v>
      </x:c>
      <x:c r="L34" s="55" t="str">
        <x:v>Prepare required language versions based on user segment.</x:v>
      </x:c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5" t="str">
        <x:v>N1.6</x:v>
      </x:c>
      <x:c r="B35" s="55" t="str">
        <x:v>D05</x:v>
      </x:c>
      <x:c r="C35" s="55" t="str">
        <x:v>Notice management</x:v>
      </x:c>
      <x:c r="D35" s="55" t="n">
        <x:v>7</x:v>
      </x:c>
      <x:c r="E35" s="55" t="str">
        <x:v>Mandatory</x:v>
      </x:c>
      <x:c r="F35" s="55" t="str">
        <x:v>Is there version control to prove which notice was active on a given date?</x:v>
      </x:c>
      <x:c r="G35" s="55" t="str">
        <x:v>Notice version register</x:v>
      </x:c>
      <x:c r="H35" s="55" t="str">
        <x:v>Mapped to DPDP Act 2023 / DPDP Rules 2025 operational readiness requirement.</x:v>
      </x:c>
      <x:c r="I35" s="55" t="str">
        <x:v>Medium</x:v>
      </x:c>
      <x:c r="J35" s="55" t="str">
        <x:v>Legal + IT</x:v>
      </x:c>
      <x:c r="K35" s="55" t="str">
        <x:v>Privacy Notice Register</x:v>
      </x:c>
      <x:c r="L35" s="55" t="str">
        <x:v>Maintain notice version history and publication evidence.</x:v>
      </x:c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5" t="str">
        <x:v>C1.1</x:v>
      </x:c>
      <x:c r="B36" s="55" t="str">
        <x:v>D06</x:v>
      </x:c>
      <x:c r="C36" s="55" t="str">
        <x:v>Consent and consent withdrawal</x:v>
      </x:c>
      <x:c r="D36" s="55" t="n">
        <x:v>7</x:v>
      </x:c>
      <x:c r="E36" s="55" t="str">
        <x:v>Conditional</x:v>
      </x:c>
      <x:c r="F36" s="55" t="str">
        <x:v>Is consent captured through clear affirmative action where consent is the basis of processing?</x:v>
      </x:c>
      <x:c r="G36" s="55" t="str">
        <x:v>Consent UI / logs</x:v>
      </x:c>
      <x:c r="H36" s="55" t="str">
        <x:v>Mapped to DPDP Act 2023 / DPDP Rules 2025 operational readiness requirement.</x:v>
      </x:c>
      <x:c r="I36" s="55" t="str">
        <x:v>High</x:v>
      </x:c>
      <x:c r="J36" s="55" t="str">
        <x:v>Legal + IT + Process Owners</x:v>
      </x:c>
      <x:c r="K36" s="55" t="str">
        <x:v>Consent Register</x:v>
      </x:c>
      <x:c r="L36" s="55" t="str">
        <x:v>Use clear affirmative consent capture.</x:v>
      </x:c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5" t="str">
        <x:v>C1.2</x:v>
      </x:c>
      <x:c r="B37" s="55" t="str">
        <x:v>D06</x:v>
      </x:c>
      <x:c r="C37" s="55" t="str">
        <x:v>Consent and consent withdrawal</x:v>
      </x:c>
      <x:c r="D37" s="55" t="n">
        <x:v>7</x:v>
      </x:c>
      <x:c r="E37" s="55" t="str">
        <x:v>Conditional</x:v>
      </x:c>
      <x:c r="F37" s="55" t="str">
        <x:v>Are consent requests separated by purpose instead of bundled into one broad checkbox?</x:v>
      </x:c>
      <x:c r="G37" s="55" t="str">
        <x:v>Consent design screenshots</x:v>
      </x:c>
      <x:c r="H37" s="55" t="str">
        <x:v>Mapped to DPDP Act 2023 / DPDP Rules 2025 operational readiness requirement.</x:v>
      </x:c>
      <x:c r="I37" s="55" t="str">
        <x:v>High</x:v>
      </x:c>
      <x:c r="J37" s="55" t="str">
        <x:v>Legal + IT + Process Owners</x:v>
      </x:c>
      <x:c r="K37" s="55" t="str">
        <x:v>Consent Register</x:v>
      </x:c>
      <x:c r="L37" s="55" t="str">
        <x:v>Split consent by purpose.</x:v>
      </x:c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5" t="str">
        <x:v>C1.3</x:v>
      </x:c>
      <x:c r="B38" s="55" t="str">
        <x:v>D06</x:v>
      </x:c>
      <x:c r="C38" s="55" t="str">
        <x:v>Consent and consent withdrawal</x:v>
      </x:c>
      <x:c r="D38" s="55" t="n">
        <x:v>7</x:v>
      </x:c>
      <x:c r="E38" s="55" t="str">
        <x:v>Conditional</x:v>
      </x:c>
      <x:c r="F38" s="55" t="str">
        <x:v>Are pre-ticked boxes, forced consent or unnecessary bundled consent avoided?</x:v>
      </x:c>
      <x:c r="G38" s="55" t="str">
        <x:v>Consent UX review</x:v>
      </x:c>
      <x:c r="H38" s="55" t="str">
        <x:v>Mapped to DPDP Act 2023 / DPDP Rules 2025 operational readiness requirement.</x:v>
      </x:c>
      <x:c r="I38" s="55" t="str">
        <x:v>High</x:v>
      </x:c>
      <x:c r="J38" s="55" t="str">
        <x:v>Legal + IT + Process Owners</x:v>
      </x:c>
      <x:c r="K38" s="55" t="str">
        <x:v>Consent Register</x:v>
      </x:c>
      <x:c r="L38" s="55" t="str">
        <x:v>Remove pre-ticked/forced/bundled consent patterns.</x:v>
      </x:c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5" t="str">
        <x:v>C1.4</x:v>
      </x:c>
      <x:c r="B39" s="55" t="str">
        <x:v>D06</x:v>
      </x:c>
      <x:c r="C39" s="55" t="str">
        <x:v>Consent and consent withdrawal</x:v>
      </x:c>
      <x:c r="D39" s="55" t="n">
        <x:v>7</x:v>
      </x:c>
      <x:c r="E39" s="55" t="str">
        <x:v>Conditional</x:v>
      </x:c>
      <x:c r="F39" s="55" t="str">
        <x:v>Are consent records stored with user ID, purpose, timestamp, notice version, source and status?</x:v>
      </x:c>
      <x:c r="G39" s="55" t="str">
        <x:v>Consent register / logs</x:v>
      </x:c>
      <x:c r="H39" s="55" t="str">
        <x:v>Mapped to DPDP Act 2023 / DPDP Rules 2025 operational readiness requirement.</x:v>
      </x:c>
      <x:c r="I39" s="55" t="str">
        <x:v>Critical</x:v>
      </x:c>
      <x:c r="J39" s="55" t="str">
        <x:v>Legal + IT + Process Owners</x:v>
      </x:c>
      <x:c r="K39" s="55" t="str">
        <x:v>Consent Register</x:v>
      </x:c>
      <x:c r="L39" s="55" t="str">
        <x:v>Implement consent logging with purpose and notice version.</x:v>
      </x:c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5" t="str">
        <x:v>C1.5</x:v>
      </x:c>
      <x:c r="B40" s="55" t="str">
        <x:v>D06</x:v>
      </x:c>
      <x:c r="C40" s="55" t="str">
        <x:v>Consent and consent withdrawal</x:v>
      </x:c>
      <x:c r="D40" s="55" t="n">
        <x:v>7</x:v>
      </x:c>
      <x:c r="E40" s="55" t="str">
        <x:v>Conditional</x:v>
      </x:c>
      <x:c r="F40" s="55" t="str">
        <x:v>Can Data Principals withdraw consent easily through app, portal, email link or request workflow?</x:v>
      </x:c>
      <x:c r="G40" s="55" t="str">
        <x:v>Withdrawal workflow</x:v>
      </x:c>
      <x:c r="H40" s="55" t="str">
        <x:v>Mapped to DPDP Act 2023 / DPDP Rules 2025 operational readiness requirement.</x:v>
      </x:c>
      <x:c r="I40" s="55" t="str">
        <x:v>High</x:v>
      </x:c>
      <x:c r="J40" s="55" t="str">
        <x:v>Legal + IT + Process Owners</x:v>
      </x:c>
      <x:c r="K40" s="55" t="str">
        <x:v>Consent Register</x:v>
      </x:c>
      <x:c r="L40" s="55" t="str">
        <x:v>Implement easy consent-withdrawal mechanism.</x:v>
      </x:c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5" t="str">
        <x:v>C1.6</x:v>
      </x:c>
      <x:c r="B41" s="55" t="str">
        <x:v>D06</x:v>
      </x:c>
      <x:c r="C41" s="55" t="str">
        <x:v>Consent and consent withdrawal</x:v>
      </x:c>
      <x:c r="D41" s="55" t="n">
        <x:v>7</x:v>
      </x:c>
      <x:c r="E41" s="55" t="str">
        <x:v>Conditional</x:v>
      </x:c>
      <x:c r="F41" s="55" t="str">
        <x:v>Does withdrawal trigger downstream stop-processing action across systems and processors?</x:v>
      </x:c>
      <x:c r="G41" s="55" t="str">
        <x:v>Withdrawal SOP / test record</x:v>
      </x:c>
      <x:c r="H41" s="55" t="str">
        <x:v>Mapped to DPDP Act 2023 / DPDP Rules 2025 operational readiness requirement.</x:v>
      </x:c>
      <x:c r="I41" s="55" t="str">
        <x:v>High</x:v>
      </x:c>
      <x:c r="J41" s="55" t="str">
        <x:v>Legal + IT + Process Owners</x:v>
      </x:c>
      <x:c r="K41" s="55" t="str">
        <x:v>Consent Register</x:v>
      </x:c>
      <x:c r="L41" s="55" t="str">
        <x:v>Propagate withdrawal to internal systems and vendors.</x:v>
      </x:c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5" t="str">
        <x:v>R1.1</x:v>
      </x:c>
      <x:c r="B42" s="55" t="str">
        <x:v>D07</x:v>
      </x:c>
      <x:c r="C42" s="55" t="str">
        <x:v>Data Principal rights</x:v>
      </x:c>
      <x:c r="D42" s="55" t="n">
        <x:v>7</x:v>
      </x:c>
      <x:c r="E42" s="55" t="str">
        <x:v>Mandatory</x:v>
      </x:c>
      <x:c r="F42" s="55" t="str">
        <x:v>Has the organisation defined how Data Principals can request access to information about their personal data?</x:v>
      </x:c>
      <x:c r="G42" s="55" t="str">
        <x:v>Rights request SOP</x:v>
      </x:c>
      <x:c r="H42" s="55" t="str">
        <x:v>Mapped to DPDP Act 2023 / DPDP Rules 2025 operational readiness requirement.</x:v>
      </x:c>
      <x:c r="I42" s="55" t="str">
        <x:v>High</x:v>
      </x:c>
      <x:c r="J42" s="55" t="str">
        <x:v>Legal + Registrar / Customer Ops</x:v>
      </x:c>
      <x:c r="K42" s="55" t="str">
        <x:v>Data Principal Rights Workflow</x:v>
      </x:c>
      <x:c r="L42" s="55" t="str">
        <x:v>Create rights intake and handling workflow.</x:v>
      </x:c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5" t="str">
        <x:v>R1.2</x:v>
      </x:c>
      <x:c r="B43" s="55" t="str">
        <x:v>D07</x:v>
      </x:c>
      <x:c r="C43" s="55" t="str">
        <x:v>Data Principal rights</x:v>
      </x:c>
      <x:c r="D43" s="55" t="n">
        <x:v>7</x:v>
      </x:c>
      <x:c r="E43" s="55" t="str">
        <x:v>Mandatory</x:v>
      </x:c>
      <x:c r="F43" s="55" t="str">
        <x:v>Is there a workflow for correction and updating of personal data?</x:v>
      </x:c>
      <x:c r="G43" s="55" t="str">
        <x:v>Correction workflow</x:v>
      </x:c>
      <x:c r="H43" s="55" t="str">
        <x:v>Mapped to DPDP Act 2023 / DPDP Rules 2025 operational readiness requirement.</x:v>
      </x:c>
      <x:c r="I43" s="55" t="str">
        <x:v>High</x:v>
      </x:c>
      <x:c r="J43" s="55" t="str">
        <x:v>Legal + Registrar / Customer Ops</x:v>
      </x:c>
      <x:c r="K43" s="55" t="str">
        <x:v>Data Principal Rights Workflow</x:v>
      </x:c>
      <x:c r="L43" s="55" t="str">
        <x:v>Define correction workflow with downstream updates.</x:v>
      </x:c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5" t="str">
        <x:v>R1.3</x:v>
      </x:c>
      <x:c r="B44" s="55" t="str">
        <x:v>D07</x:v>
      </x:c>
      <x:c r="C44" s="55" t="str">
        <x:v>Data Principal rights</x:v>
      </x:c>
      <x:c r="D44" s="55" t="n">
        <x:v>7</x:v>
      </x:c>
      <x:c r="E44" s="55" t="str">
        <x:v>Mandatory</x:v>
      </x:c>
      <x:c r="F44" s="55" t="str">
        <x:v>Is there a workflow for erasure requests with legal-retention checks?</x:v>
      </x:c>
      <x:c r="G44" s="55" t="str">
        <x:v>Erasure SOP</x:v>
      </x:c>
      <x:c r="H44" s="55" t="str">
        <x:v>Mapped to DPDP Act 2023 / DPDP Rules 2025 operational readiness requirement.</x:v>
      </x:c>
      <x:c r="I44" s="55" t="str">
        <x:v>High</x:v>
      </x:c>
      <x:c r="J44" s="55" t="str">
        <x:v>Legal + Registrar / Customer Ops</x:v>
      </x:c>
      <x:c r="K44" s="55" t="str">
        <x:v>Data Principal Rights Workflow</x:v>
      </x:c>
      <x:c r="L44" s="55" t="str">
        <x:v>Create erasure workflow with retention exceptions.</x:v>
      </x:c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5" t="str">
        <x:v>R1.4</x:v>
      </x:c>
      <x:c r="B45" s="55" t="str">
        <x:v>D07</x:v>
      </x:c>
      <x:c r="C45" s="55" t="str">
        <x:v>Data Principal rights</x:v>
      </x:c>
      <x:c r="D45" s="55" t="n">
        <x:v>7</x:v>
      </x:c>
      <x:c r="E45" s="55" t="str">
        <x:v>Mandatory</x:v>
      </x:c>
      <x:c r="F45" s="55" t="str">
        <x:v>Is nomination supported where applicable?</x:v>
      </x:c>
      <x:c r="G45" s="55" t="str">
        <x:v>Nomination workflow</x:v>
      </x:c>
      <x:c r="H45" s="55" t="str">
        <x:v>Mapped to DPDP Act 2023 / DPDP Rules 2025 operational readiness requirement.</x:v>
      </x:c>
      <x:c r="I45" s="55" t="str">
        <x:v>Medium</x:v>
      </x:c>
      <x:c r="J45" s="55" t="str">
        <x:v>Legal + Registrar / Customer Ops</x:v>
      </x:c>
      <x:c r="K45" s="55" t="str">
        <x:v>Data Principal Rights Workflow</x:v>
      </x:c>
      <x:c r="L45" s="55" t="str">
        <x:v>Add nomination request and recording process.</x:v>
      </x:c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5" t="str">
        <x:v>R1.5</x:v>
      </x:c>
      <x:c r="B46" s="55" t="str">
        <x:v>D07</x:v>
      </x:c>
      <x:c r="C46" s="55" t="str">
        <x:v>Data Principal rights</x:v>
      </x:c>
      <x:c r="D46" s="55" t="n">
        <x:v>7</x:v>
      </x:c>
      <x:c r="E46" s="55" t="str">
        <x:v>Mandatory</x:v>
      </x:c>
      <x:c r="F46" s="55" t="str">
        <x:v>Are rights requests tracked with status, owner, due date, response and evidence?</x:v>
      </x:c>
      <x:c r="G46" s="55" t="str">
        <x:v>Rights tracker</x:v>
      </x:c>
      <x:c r="H46" s="55" t="str">
        <x:v>Mapped to DPDP Act 2023 / DPDP Rules 2025 operational readiness requirement.</x:v>
      </x:c>
      <x:c r="I46" s="55" t="str">
        <x:v>High</x:v>
      </x:c>
      <x:c r="J46" s="55" t="str">
        <x:v>Legal + Registrar / Customer Ops</x:v>
      </x:c>
      <x:c r="K46" s="55" t="str">
        <x:v>Data Principal Rights Workflow</x:v>
      </x:c>
      <x:c r="L46" s="55" t="str">
        <x:v>Implement rights request tracker.</x:v>
      </x:c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5" t="str">
        <x:v>R1.6</x:v>
      </x:c>
      <x:c r="B47" s="55" t="str">
        <x:v>D07</x:v>
      </x:c>
      <x:c r="C47" s="55" t="str">
        <x:v>Data Principal rights</x:v>
      </x:c>
      <x:c r="D47" s="55" t="n">
        <x:v>7</x:v>
      </x:c>
      <x:c r="E47" s="55" t="str">
        <x:v>Mandatory</x:v>
      </x:c>
      <x:c r="F47" s="55" t="str">
        <x:v>Are identity verification steps defined before acting on rights requests?</x:v>
      </x:c>
      <x:c r="G47" s="55" t="str">
        <x:v>Verification SOP</x:v>
      </x:c>
      <x:c r="H47" s="55" t="str">
        <x:v>Mapped to DPDP Act 2023 / DPDP Rules 2025 operational readiness requirement.</x:v>
      </x:c>
      <x:c r="I47" s="55" t="str">
        <x:v>High</x:v>
      </x:c>
      <x:c r="J47" s="55" t="str">
        <x:v>Legal + Registrar / Customer Ops</x:v>
      </x:c>
      <x:c r="K47" s="55" t="str">
        <x:v>Data Principal Rights Workflow</x:v>
      </x:c>
      <x:c r="L47" s="55" t="str">
        <x:v>Add identity verification before disclosure or changes.</x:v>
      </x:c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5" t="str">
        <x:v>GR1.1</x:v>
      </x:c>
      <x:c r="B48" s="55" t="str">
        <x:v>D08</x:v>
      </x:c>
      <x:c r="C48" s="55" t="str">
        <x:v>Grievance redressal and contact publication</x:v>
      </x:c>
      <x:c r="D48" s="55" t="n">
        <x:v>5</x:v>
      </x:c>
      <x:c r="E48" s="55" t="str">
        <x:v>Mandatory</x:v>
      </x:c>
      <x:c r="F48" s="55" t="str">
        <x:v>Has the organisation published business contact information for DPDP/privacy queries?</x:v>
      </x:c>
      <x:c r="G48" s="55" t="str">
        <x:v>Website/app screenshot</x:v>
      </x:c>
      <x:c r="H48" s="55" t="str">
        <x:v>Mapped to DPDP Act 2023 / DPDP Rules 2025 operational readiness requirement.</x:v>
      </x:c>
      <x:c r="I48" s="55" t="str">
        <x:v>Critical</x:v>
      </x:c>
      <x:c r="J48" s="55" t="str">
        <x:v>Legal + DPDP Owner</x:v>
      </x:c>
      <x:c r="K48" s="55" t="str">
        <x:v>Grievance Tracker</x:v>
      </x:c>
      <x:c r="L48" s="55" t="str">
        <x:v>Publish privacy contact on website/app/portal.</x:v>
      </x:c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5" t="str">
        <x:v>GR1.2</x:v>
      </x:c>
      <x:c r="B49" s="55" t="str">
        <x:v>D08</x:v>
      </x:c>
      <x:c r="C49" s="55" t="str">
        <x:v>Grievance redressal and contact publication</x:v>
      </x:c>
      <x:c r="D49" s="55" t="n">
        <x:v>5</x:v>
      </x:c>
      <x:c r="E49" s="55" t="str">
        <x:v>Mandatory</x:v>
      </x:c>
      <x:c r="F49" s="55" t="str">
        <x:v>Is there a grievance redressal mechanism specifically covering personal data complaints?</x:v>
      </x:c>
      <x:c r="G49" s="55" t="str">
        <x:v>Grievance SOP</x:v>
      </x:c>
      <x:c r="H49" s="55" t="str">
        <x:v>Mapped to DPDP Act 2023 / DPDP Rules 2025 operational readiness requirement.</x:v>
      </x:c>
      <x:c r="I49" s="55" t="str">
        <x:v>Critical</x:v>
      </x:c>
      <x:c r="J49" s="55" t="str">
        <x:v>Legal + DPDP Owner</x:v>
      </x:c>
      <x:c r="K49" s="55" t="str">
        <x:v>Grievance Tracker</x:v>
      </x:c>
      <x:c r="L49" s="55" t="str">
        <x:v>Create DPDP grievance mechanism.</x:v>
      </x:c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5" t="str">
        <x:v>GR1.3</x:v>
      </x:c>
      <x:c r="B50" s="55" t="str">
        <x:v>D08</x:v>
      </x:c>
      <x:c r="C50" s="55" t="str">
        <x:v>Grievance redressal and contact publication</x:v>
      </x:c>
      <x:c r="D50" s="55" t="n">
        <x:v>5</x:v>
      </x:c>
      <x:c r="E50" s="55" t="str">
        <x:v>Mandatory</x:v>
      </x:c>
      <x:c r="F50" s="55" t="str">
        <x:v>Is the grievance channel visible in website, app, portal and privacy communications?</x:v>
      </x:c>
      <x:c r="G50" s="55" t="str">
        <x:v>Screenshots / notice links</x:v>
      </x:c>
      <x:c r="H50" s="55" t="str">
        <x:v>Mapped to DPDP Act 2023 / DPDP Rules 2025 operational readiness requirement.</x:v>
      </x:c>
      <x:c r="I50" s="55" t="str">
        <x:v>High</x:v>
      </x:c>
      <x:c r="J50" s="55" t="str">
        <x:v>Legal + DPDP Owner</x:v>
      </x:c>
      <x:c r="K50" s="55" t="str">
        <x:v>Grievance Tracker</x:v>
      </x:c>
      <x:c r="L50" s="55" t="str">
        <x:v>Make grievance channel visible wherever personal data is collected.</x:v>
      </x:c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5" t="str">
        <x:v>GR1.4</x:v>
      </x:c>
      <x:c r="B51" s="55" t="str">
        <x:v>D08</x:v>
      </x:c>
      <x:c r="C51" s="55" t="str">
        <x:v>Grievance redressal and contact publication</x:v>
      </x:c>
      <x:c r="D51" s="55" t="n">
        <x:v>5</x:v>
      </x:c>
      <x:c r="E51" s="55" t="str">
        <x:v>Mandatory</x:v>
      </x:c>
      <x:c r="F51" s="55" t="str">
        <x:v>Are grievances tracked with acknowledgement, owner, timeline, closure and evidence?</x:v>
      </x:c>
      <x:c r="G51" s="55" t="str">
        <x:v>Grievance tracker</x:v>
      </x:c>
      <x:c r="H51" s="55" t="str">
        <x:v>Mapped to DPDP Act 2023 / DPDP Rules 2025 operational readiness requirement.</x:v>
      </x:c>
      <x:c r="I51" s="55" t="str">
        <x:v>High</x:v>
      </x:c>
      <x:c r="J51" s="55" t="str">
        <x:v>Legal + DPDP Owner</x:v>
      </x:c>
      <x:c r="K51" s="55" t="str">
        <x:v>Grievance Tracker</x:v>
      </x:c>
      <x:c r="L51" s="55" t="str">
        <x:v>Set up grievance tracker and closure evidence.</x:v>
      </x:c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5" t="str">
        <x:v>GR1.5</x:v>
      </x:c>
      <x:c r="B52" s="55" t="str">
        <x:v>D08</x:v>
      </x:c>
      <x:c r="C52" s="55" t="str">
        <x:v>Grievance redressal and contact publication</x:v>
      </x:c>
      <x:c r="D52" s="55" t="n">
        <x:v>5</x:v>
      </x:c>
      <x:c r="E52" s="55" t="str">
        <x:v>Mandatory</x:v>
      </x:c>
      <x:c r="F52" s="55" t="str">
        <x:v>Are unresolved or high-risk grievances escalated to senior governance?</x:v>
      </x:c>
      <x:c r="G52" s="55" t="str">
        <x:v>Escalation matrix</x:v>
      </x:c>
      <x:c r="H52" s="55" t="str">
        <x:v>Mapped to DPDP Act 2023 / DPDP Rules 2025 operational readiness requirement.</x:v>
      </x:c>
      <x:c r="I52" s="55" t="str">
        <x:v>Medium</x:v>
      </x:c>
      <x:c r="J52" s="55" t="str">
        <x:v>Legal + DPDP Owner</x:v>
      </x:c>
      <x:c r="K52" s="55" t="str">
        <x:v>Grievance Tracker</x:v>
      </x:c>
      <x:c r="L52" s="55" t="str">
        <x:v>Define escalation path for unresolved/high-risk grievances.</x:v>
      </x:c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5" t="str">
        <x:v>RE1.1</x:v>
      </x:c>
      <x:c r="B53" s="55" t="str">
        <x:v>D09</x:v>
      </x:c>
      <x:c r="C53" s="55" t="str">
        <x:v>Retention, erasure and archival</x:v>
      </x:c>
      <x:c r="D53" s="55" t="n">
        <x:v>7</x:v>
      </x:c>
      <x:c r="E53" s="55" t="str">
        <x:v>Mandatory</x:v>
      </x:c>
      <x:c r="F53" s="55" t="str">
        <x:v>Has the organisation defined retention periods for each personal data category?</x:v>
      </x:c>
      <x:c r="G53" s="55" t="str">
        <x:v>Retention schedule</x:v>
      </x:c>
      <x:c r="H53" s="55" t="str">
        <x:v>Mapped to DPDP Act 2023 / DPDP Rules 2025 operational readiness requirement.</x:v>
      </x:c>
      <x:c r="I53" s="55" t="str">
        <x:v>High</x:v>
      </x:c>
      <x:c r="J53" s="55" t="str">
        <x:v>Legal + Records Owners + IT</x:v>
      </x:c>
      <x:c r="K53" s="55" t="str">
        <x:v>Retention Register</x:v>
      </x:c>
      <x:c r="L53" s="55" t="str">
        <x:v>Create category-wise retention schedule.</x:v>
      </x:c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5" t="str">
        <x:v>RE1.2</x:v>
      </x:c>
      <x:c r="B54" s="55" t="str">
        <x:v>D09</x:v>
      </x:c>
      <x:c r="C54" s="55" t="str">
        <x:v>Retention, erasure and archival</x:v>
      </x:c>
      <x:c r="D54" s="55" t="n">
        <x:v>7</x:v>
      </x:c>
      <x:c r="E54" s="55" t="str">
        <x:v>Mandatory</x:v>
      </x:c>
      <x:c r="F54" s="55" t="str">
        <x:v>Are legal, regulatory, academic, employment, tax and audit retention requirements considered?</x:v>
      </x:c>
      <x:c r="G54" s="55" t="str">
        <x:v>Legal retention mapping</x:v>
      </x:c>
      <x:c r="H54" s="55" t="str">
        <x:v>Mapped to DPDP Act 2023 / DPDP Rules 2025 operational readiness requirement.</x:v>
      </x:c>
      <x:c r="I54" s="55" t="str">
        <x:v>High</x:v>
      </x:c>
      <x:c r="J54" s="55" t="str">
        <x:v>Legal + Records Owners + IT</x:v>
      </x:c>
      <x:c r="K54" s="55" t="str">
        <x:v>Retention Register</x:v>
      </x:c>
      <x:c r="L54" s="55" t="str">
        <x:v>Map retention to applicable legal/operational basis.</x:v>
      </x:c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5" t="str">
        <x:v>RE1.3</x:v>
      </x:c>
      <x:c r="B55" s="55" t="str">
        <x:v>D09</x:v>
      </x:c>
      <x:c r="C55" s="55" t="str">
        <x:v>Retention, erasure and archival</x:v>
      </x:c>
      <x:c r="D55" s="55" t="n">
        <x:v>7</x:v>
      </x:c>
      <x:c r="E55" s="55" t="str">
        <x:v>Mandatory</x:v>
      </x:c>
      <x:c r="F55" s="55" t="str">
        <x:v>Is there a process to erase or anonymise personal data when purpose is over?</x:v>
      </x:c>
      <x:c r="G55" s="55" t="str">
        <x:v>Erasure/anonymisation SOP</x:v>
      </x:c>
      <x:c r="H55" s="55" t="str">
        <x:v>Mapped to DPDP Act 2023 / DPDP Rules 2025 operational readiness requirement.</x:v>
      </x:c>
      <x:c r="I55" s="55" t="str">
        <x:v>High</x:v>
      </x:c>
      <x:c r="J55" s="55" t="str">
        <x:v>Legal + Records Owners + IT</x:v>
      </x:c>
      <x:c r="K55" s="55" t="str">
        <x:v>Retention Register</x:v>
      </x:c>
      <x:c r="L55" s="55" t="str">
        <x:v>Define purpose-completion erasure/anonymisation process.</x:v>
      </x:c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5" t="str">
        <x:v>RE1.4</x:v>
      </x:c>
      <x:c r="B56" s="55" t="str">
        <x:v>D09</x:v>
      </x:c>
      <x:c r="C56" s="55" t="str">
        <x:v>Retention, erasure and archival</x:v>
      </x:c>
      <x:c r="D56" s="55" t="n">
        <x:v>7</x:v>
      </x:c>
      <x:c r="E56" s="55" t="str">
        <x:v>Mandatory</x:v>
      </x:c>
      <x:c r="F56" s="55" t="str">
        <x:v>Are processors/vendors required to erase data when instructed?</x:v>
      </x:c>
      <x:c r="G56" s="55" t="str">
        <x:v>Vendor deletion clause / certificate</x:v>
      </x:c>
      <x:c r="H56" s="55" t="str">
        <x:v>Mapped to DPDP Act 2023 / DPDP Rules 2025 operational readiness requirement.</x:v>
      </x:c>
      <x:c r="I56" s="55" t="str">
        <x:v>High</x:v>
      </x:c>
      <x:c r="J56" s="55" t="str">
        <x:v>Legal + Records Owners + IT</x:v>
      </x:c>
      <x:c r="K56" s="55" t="str">
        <x:v>Retention Register</x:v>
      </x:c>
      <x:c r="L56" s="55" t="str">
        <x:v>Add vendor deletion obligations and confirmation process.</x:v>
      </x:c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5" t="str">
        <x:v>RE1.5</x:v>
      </x:c>
      <x:c r="B57" s="55" t="str">
        <x:v>D09</x:v>
      </x:c>
      <x:c r="C57" s="55" t="str">
        <x:v>Retention, erasure and archival</x:v>
      </x:c>
      <x:c r="D57" s="55" t="n">
        <x:v>7</x:v>
      </x:c>
      <x:c r="E57" s="55" t="str">
        <x:v>Mandatory</x:v>
      </x:c>
      <x:c r="F57" s="55" t="str">
        <x:v>Are logs and processing records retained for security and breach investigation as required?</x:v>
      </x:c>
      <x:c r="G57" s="55" t="str">
        <x:v>Log retention policy</x:v>
      </x:c>
      <x:c r="H57" s="55" t="str">
        <x:v>Mapped to DPDP Act 2023 / DPDP Rules 2025 operational readiness requirement.</x:v>
      </x:c>
      <x:c r="I57" s="55" t="str">
        <x:v>Medium</x:v>
      </x:c>
      <x:c r="J57" s="55" t="str">
        <x:v>Legal + Records Owners + IT</x:v>
      </x:c>
      <x:c r="K57" s="55" t="str">
        <x:v>Retention Register</x:v>
      </x:c>
      <x:c r="L57" s="55" t="str">
        <x:v>Define log retention and monitoring process.</x:v>
      </x:c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5" t="str">
        <x:v>RE1.6</x:v>
      </x:c>
      <x:c r="B58" s="55" t="str">
        <x:v>D09</x:v>
      </x:c>
      <x:c r="C58" s="55" t="str">
        <x:v>Retention, erasure and archival</x:v>
      </x:c>
      <x:c r="D58" s="55" t="n">
        <x:v>7</x:v>
      </x:c>
      <x:c r="E58" s="55" t="str">
        <x:v>Mandatory</x:v>
      </x:c>
      <x:c r="F58" s="55" t="str">
        <x:v>Is there periodic review of old records, inactive accounts, old leads, archived files and legacy databases?</x:v>
      </x:c>
      <x:c r="G58" s="55" t="str">
        <x:v>Review records</x:v>
      </x:c>
      <x:c r="H58" s="55" t="str">
        <x:v>Mapped to DPDP Act 2023 / DPDP Rules 2025 operational readiness requirement.</x:v>
      </x:c>
      <x:c r="I58" s="55" t="str">
        <x:v>Medium</x:v>
      </x:c>
      <x:c r="J58" s="55" t="str">
        <x:v>Legal + Records Owners + IT</x:v>
      </x:c>
      <x:c r="K58" s="55" t="str">
        <x:v>Retention Register</x:v>
      </x:c>
      <x:c r="L58" s="55" t="str">
        <x:v>Run periodic stale-data review.</x:v>
      </x:c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5" t="str">
        <x:v>A1.1</x:v>
      </x:c>
      <x:c r="B59" s="55" t="str">
        <x:v>D10</x:v>
      </x:c>
      <x:c r="C59" s="55" t="str">
        <x:v>Data accuracy and quality</x:v>
      </x:c>
      <x:c r="D59" s="55" t="n">
        <x:v>4</x:v>
      </x:c>
      <x:c r="E59" s="55" t="str">
        <x:v>Mandatory</x:v>
      </x:c>
      <x:c r="F59" s="55" t="str">
        <x:v>Are processes defined to keep personal data accurate, complete and updated?</x:v>
      </x:c>
      <x:c r="G59" s="55" t="str">
        <x:v>Data quality SOP</x:v>
      </x:c>
      <x:c r="H59" s="55" t="str">
        <x:v>Mapped to DPDP Act 2023 / DPDP Rules 2025 operational readiness requirement.</x:v>
      </x:c>
      <x:c r="I59" s="55" t="str">
        <x:v>Medium</x:v>
      </x:c>
      <x:c r="J59" s="55" t="str">
        <x:v>Data Owners + IT</x:v>
      </x:c>
      <x:c r="K59" s="55" t="str">
        <x:v>Data Quality Register</x:v>
      </x:c>
      <x:c r="L59" s="55" t="str">
        <x:v>Create data quality and correction SOP.</x:v>
      </x:c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5" t="str">
        <x:v>A1.2</x:v>
      </x:c>
      <x:c r="B60" s="55" t="str">
        <x:v>D10</x:v>
      </x:c>
      <x:c r="C60" s="55" t="str">
        <x:v>Data accuracy and quality</x:v>
      </x:c>
      <x:c r="D60" s="55" t="n">
        <x:v>4</x:v>
      </x:c>
      <x:c r="E60" s="55" t="str">
        <x:v>Mandatory</x:v>
      </x:c>
      <x:c r="F60" s="55" t="str">
        <x:v>Are critical fields identified where inaccurate data can affect decisions?</x:v>
      </x:c>
      <x:c r="G60" s="55" t="str">
        <x:v>Critical field register</x:v>
      </x:c>
      <x:c r="H60" s="55" t="str">
        <x:v>Mapped to DPDP Act 2023 / DPDP Rules 2025 operational readiness requirement.</x:v>
      </x:c>
      <x:c r="I60" s="55" t="str">
        <x:v>Medium</x:v>
      </x:c>
      <x:c r="J60" s="55" t="str">
        <x:v>Data Owners + IT</x:v>
      </x:c>
      <x:c r="K60" s="55" t="str">
        <x:v>Data Quality Register</x:v>
      </x:c>
      <x:c r="L60" s="55" t="str">
        <x:v>Identify critical fields such as DOB, marks, eligibility, payroll details.</x:v>
      </x:c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5" t="str">
        <x:v>A1.3</x:v>
      </x:c>
      <x:c r="B61" s="55" t="str">
        <x:v>D10</x:v>
      </x:c>
      <x:c r="C61" s="55" t="str">
        <x:v>Data accuracy and quality</x:v>
      </x:c>
      <x:c r="D61" s="55" t="n">
        <x:v>4</x:v>
      </x:c>
      <x:c r="E61" s="55" t="str">
        <x:v>Mandatory</x:v>
      </x:c>
      <x:c r="F61" s="55" t="str">
        <x:v>Are validation controls used in forms and systems?</x:v>
      </x:c>
      <x:c r="G61" s="55" t="str">
        <x:v>Validation screenshots / rules</x:v>
      </x:c>
      <x:c r="H61" s="55" t="str">
        <x:v>Mapped to DPDP Act 2023 / DPDP Rules 2025 operational readiness requirement.</x:v>
      </x:c>
      <x:c r="I61" s="55" t="str">
        <x:v>Medium</x:v>
      </x:c>
      <x:c r="J61" s="55" t="str">
        <x:v>Data Owners + IT</x:v>
      </x:c>
      <x:c r="K61" s="55" t="str">
        <x:v>Data Quality Register</x:v>
      </x:c>
      <x:c r="L61" s="55" t="str">
        <x:v>Implement validation rules on forms and systems.</x:v>
      </x:c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5" t="str">
        <x:v>A1.4</x:v>
      </x:c>
      <x:c r="B62" s="55" t="str">
        <x:v>D10</x:v>
      </x:c>
      <x:c r="C62" s="55" t="str">
        <x:v>Data accuracy and quality</x:v>
      </x:c>
      <x:c r="D62" s="55" t="n">
        <x:v>4</x:v>
      </x:c>
      <x:c r="E62" s="55" t="str">
        <x:v>Mandatory</x:v>
      </x:c>
      <x:c r="F62" s="55" t="str">
        <x:v>Are correction requests reflected across downstream systems and vendors?</x:v>
      </x:c>
      <x:c r="G62" s="55" t="str">
        <x:v>Correction propagation workflow</x:v>
      </x:c>
      <x:c r="H62" s="55" t="str">
        <x:v>Mapped to DPDP Act 2023 / DPDP Rules 2025 operational readiness requirement.</x:v>
      </x:c>
      <x:c r="I62" s="55" t="str">
        <x:v>High</x:v>
      </x:c>
      <x:c r="J62" s="55" t="str">
        <x:v>Data Owners + IT</x:v>
      </x:c>
      <x:c r="K62" s="55" t="str">
        <x:v>Data Quality Register</x:v>
      </x:c>
      <x:c r="L62" s="55" t="str">
        <x:v>Define downstream propagation controls.</x:v>
      </x:c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5" t="str">
        <x:v>A1.5</x:v>
      </x:c>
      <x:c r="B63" s="55" t="str">
        <x:v>D10</x:v>
      </x:c>
      <x:c r="C63" s="55" t="str">
        <x:v>Data accuracy and quality</x:v>
      </x:c>
      <x:c r="D63" s="55" t="n">
        <x:v>4</x:v>
      </x:c>
      <x:c r="E63" s="55" t="str">
        <x:v>Mandatory</x:v>
      </x:c>
      <x:c r="F63" s="55" t="str">
        <x:v>Are data quality issues tracked and corrected periodically?</x:v>
      </x:c>
      <x:c r="G63" s="55" t="str">
        <x:v>Data quality reports</x:v>
      </x:c>
      <x:c r="H63" s="55" t="str">
        <x:v>Mapped to DPDP Act 2023 / DPDP Rules 2025 operational readiness requirement.</x:v>
      </x:c>
      <x:c r="I63" s="55" t="str">
        <x:v>Medium</x:v>
      </x:c>
      <x:c r="J63" s="55" t="str">
        <x:v>Data Owners + IT</x:v>
      </x:c>
      <x:c r="K63" s="55" t="str">
        <x:v>Data Quality Register</x:v>
      </x:c>
      <x:c r="L63" s="55" t="str">
        <x:v>Run periodic data quality checks.</x:v>
      </x:c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5" t="str">
        <x:v>S1.1</x:v>
      </x:c>
      <x:c r="B64" s="55" t="str">
        <x:v>D11</x:v>
      </x:c>
      <x:c r="C64" s="55" t="str">
        <x:v>Security safeguards</x:v>
      </x:c>
      <x:c r="D64" s="55" t="n">
        <x:v>10</x:v>
      </x:c>
      <x:c r="E64" s="55" t="str">
        <x:v>Mandatory</x:v>
      </x:c>
      <x:c r="F64" s="55" t="str">
        <x:v>Is personal data protected using encryption, masking, obfuscation or tokenisation where appropriate?</x:v>
      </x:c>
      <x:c r="G64" s="55" t="str">
        <x:v>Architecture proof / screenshots</x:v>
      </x:c>
      <x:c r="H64" s="55" t="str">
        <x:v>Mapped to DPDP Act 2023 / DPDP Rules 2025 operational readiness requirement.</x:v>
      </x:c>
      <x:c r="I64" s="55" t="str">
        <x:v>Critical</x:v>
      </x:c>
      <x:c r="J64" s="55" t="str">
        <x:v>IT / CISO / Security</x:v>
      </x:c>
      <x:c r="K64" s="55" t="str">
        <x:v>Security Evidence Repository</x:v>
      </x:c>
      <x:c r="L64" s="55" t="str">
        <x:v>Implement risk-based encryption, masking, tokenisation or obfuscation.</x:v>
      </x:c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5" t="str">
        <x:v>S1.2</x:v>
      </x:c>
      <x:c r="B65" s="55" t="str">
        <x:v>D11</x:v>
      </x:c>
      <x:c r="C65" s="55" t="str">
        <x:v>Security safeguards</x:v>
      </x:c>
      <x:c r="D65" s="55" t="n">
        <x:v>10</x:v>
      </x:c>
      <x:c r="E65" s="55" t="str">
        <x:v>Mandatory</x:v>
      </x:c>
      <x:c r="F65" s="55" t="str">
        <x:v>Are role-based access controls implemented for systems containing personal data?</x:v>
      </x:c>
      <x:c r="G65" s="55" t="str">
        <x:v>RBAC matrix</x:v>
      </x:c>
      <x:c r="H65" s="55" t="str">
        <x:v>Mapped to DPDP Act 2023 / DPDP Rules 2025 operational readiness requirement.</x:v>
      </x:c>
      <x:c r="I65" s="55" t="str">
        <x:v>Critical</x:v>
      </x:c>
      <x:c r="J65" s="55" t="str">
        <x:v>IT / CISO / Security</x:v>
      </x:c>
      <x:c r="K65" s="55" t="str">
        <x:v>Security Evidence Repository</x:v>
      </x:c>
      <x:c r="L65" s="55" t="str">
        <x:v>Implement RBAC for all critical systems.</x:v>
      </x:c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5" t="str">
        <x:v>S1.3</x:v>
      </x:c>
      <x:c r="B66" s="55" t="str">
        <x:v>D11</x:v>
      </x:c>
      <x:c r="C66" s="55" t="str">
        <x:v>Security safeguards</x:v>
      </x:c>
      <x:c r="D66" s="55" t="n">
        <x:v>10</x:v>
      </x:c>
      <x:c r="E66" s="55" t="str">
        <x:v>Mandatory</x:v>
      </x:c>
      <x:c r="F66" s="55" t="str">
        <x:v>Are access logs maintained for viewing, editing, downloading, exporting and deleting personal data?</x:v>
      </x:c>
      <x:c r="G66" s="55" t="str">
        <x:v>Log samples</x:v>
      </x:c>
      <x:c r="H66" s="55" t="str">
        <x:v>Mapped to DPDP Act 2023 / DPDP Rules 2025 operational readiness requirement.</x:v>
      </x:c>
      <x:c r="I66" s="55" t="str">
        <x:v>High</x:v>
      </x:c>
      <x:c r="J66" s="55" t="str">
        <x:v>IT / CISO / Security</x:v>
      </x:c>
      <x:c r="K66" s="55" t="str">
        <x:v>Security Evidence Repository</x:v>
      </x:c>
      <x:c r="L66" s="55" t="str">
        <x:v>Enable and retain access/activity logs.</x:v>
      </x:c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5" t="str">
        <x:v>S1.4</x:v>
      </x:c>
      <x:c r="B67" s="55" t="str">
        <x:v>D11</x:v>
      </x:c>
      <x:c r="C67" s="55" t="str">
        <x:v>Security safeguards</x:v>
      </x:c>
      <x:c r="D67" s="55" t="n">
        <x:v>10</x:v>
      </x:c>
      <x:c r="E67" s="55" t="str">
        <x:v>Mandatory</x:v>
      </x:c>
      <x:c r="F67" s="55" t="str">
        <x:v>Are logs monitored and reviewed to detect unauthorised access?</x:v>
      </x:c>
      <x:c r="G67" s="55" t="str">
        <x:v>Monitoring reports</x:v>
      </x:c>
      <x:c r="H67" s="55" t="str">
        <x:v>Mapped to DPDP Act 2023 / DPDP Rules 2025 operational readiness requirement.</x:v>
      </x:c>
      <x:c r="I67" s="55" t="str">
        <x:v>High</x:v>
      </x:c>
      <x:c r="J67" s="55" t="str">
        <x:v>IT / CISO / Security</x:v>
      </x:c>
      <x:c r="K67" s="55" t="str">
        <x:v>Security Evidence Repository</x:v>
      </x:c>
      <x:c r="L67" s="55" t="str">
        <x:v>Implement monitoring and periodic log reviews.</x:v>
      </x:c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5" t="str">
        <x:v>S1.5</x:v>
      </x:c>
      <x:c r="B68" s="55" t="str">
        <x:v>D11</x:v>
      </x:c>
      <x:c r="C68" s="55" t="str">
        <x:v>Security safeguards</x:v>
      </x:c>
      <x:c r="D68" s="55" t="n">
        <x:v>10</x:v>
      </x:c>
      <x:c r="E68" s="55" t="str">
        <x:v>Mandatory</x:v>
      </x:c>
      <x:c r="F68" s="55" t="str">
        <x:v>Are backups maintained and tested for recovery?</x:v>
      </x:c>
      <x:c r="G68" s="55" t="str">
        <x:v>Backup and restore test evidence</x:v>
      </x:c>
      <x:c r="H68" s="55" t="str">
        <x:v>Mapped to DPDP Act 2023 / DPDP Rules 2025 operational readiness requirement.</x:v>
      </x:c>
      <x:c r="I68" s="55" t="str">
        <x:v>High</x:v>
      </x:c>
      <x:c r="J68" s="55" t="str">
        <x:v>IT / CISO / Security</x:v>
      </x:c>
      <x:c r="K68" s="55" t="str">
        <x:v>Security Evidence Repository</x:v>
      </x:c>
      <x:c r="L68" s="55" t="str">
        <x:v>Test backup and restore for critical systems.</x:v>
      </x:c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5" t="str">
        <x:v>S1.6</x:v>
      </x:c>
      <x:c r="B69" s="55" t="str">
        <x:v>D11</x:v>
      </x:c>
      <x:c r="C69" s="55" t="str">
        <x:v>Security safeguards</x:v>
      </x:c>
      <x:c r="D69" s="55" t="n">
        <x:v>10</x:v>
      </x:c>
      <x:c r="E69" s="55" t="str">
        <x:v>Mandatory</x:v>
      </x:c>
      <x:c r="F69" s="55" t="str">
        <x:v>Are admin, vendor, developer and privileged accesses reviewed periodically?</x:v>
      </x:c>
      <x:c r="G69" s="55" t="str">
        <x:v>Access review report</x:v>
      </x:c>
      <x:c r="H69" s="55" t="str">
        <x:v>Mapped to DPDP Act 2023 / DPDP Rules 2025 operational readiness requirement.</x:v>
      </x:c>
      <x:c r="I69" s="55" t="str">
        <x:v>High</x:v>
      </x:c>
      <x:c r="J69" s="55" t="str">
        <x:v>IT / CISO / Security</x:v>
      </x:c>
      <x:c r="K69" s="55" t="str">
        <x:v>Security Evidence Repository</x:v>
      </x:c>
      <x:c r="L69" s="55" t="str">
        <x:v>Run periodic privileged-access reviews.</x:v>
      </x:c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5" t="str">
        <x:v>S1.7</x:v>
      </x:c>
      <x:c r="B70" s="55" t="str">
        <x:v>D11</x:v>
      </x:c>
      <x:c r="C70" s="55" t="str">
        <x:v>Security safeguards</x:v>
      </x:c>
      <x:c r="D70" s="55" t="n">
        <x:v>10</x:v>
      </x:c>
      <x:c r="E70" s="55" t="str">
        <x:v>Mandatory</x:v>
      </x:c>
      <x:c r="F70" s="55" t="str">
        <x:v>Are test/development environments protected from unnecessary personal data exposure?</x:v>
      </x:c>
      <x:c r="G70" s="55" t="str">
        <x:v>Test data policy / masking proof</x:v>
      </x:c>
      <x:c r="H70" s="55" t="str">
        <x:v>Mapped to DPDP Act 2023 / DPDP Rules 2025 operational readiness requirement.</x:v>
      </x:c>
      <x:c r="I70" s="55" t="str">
        <x:v>Medium</x:v>
      </x:c>
      <x:c r="J70" s="55" t="str">
        <x:v>IT / CISO / Security</x:v>
      </x:c>
      <x:c r="K70" s="55" t="str">
        <x:v>Security Evidence Repository</x:v>
      </x:c>
      <x:c r="L70" s="55" t="str">
        <x:v>Use masked/synthetic data in lower environments.</x:v>
      </x:c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5" t="str">
        <x:v>S1.8</x:v>
      </x:c>
      <x:c r="B71" s="55" t="str">
        <x:v>D11</x:v>
      </x:c>
      <x:c r="C71" s="55" t="str">
        <x:v>Security safeguards</x:v>
      </x:c>
      <x:c r="D71" s="55" t="n">
        <x:v>10</x:v>
      </x:c>
      <x:c r="E71" s="55" t="str">
        <x:v>Mandatory</x:v>
      </x:c>
      <x:c r="F71" s="55" t="str">
        <x:v>Are security safeguards contractually required for processors/vendors?</x:v>
      </x:c>
      <x:c r="G71" s="55" t="str">
        <x:v>Contract clauses / security addendum</x:v>
      </x:c>
      <x:c r="H71" s="55" t="str">
        <x:v>Mapped to DPDP Act 2023 / DPDP Rules 2025 operational readiness requirement.</x:v>
      </x:c>
      <x:c r="I71" s="55" t="str">
        <x:v>High</x:v>
      </x:c>
      <x:c r="J71" s="55" t="str">
        <x:v>IT / CISO / Security</x:v>
      </x:c>
      <x:c r="K71" s="55" t="str">
        <x:v>Security Evidence Repository</x:v>
      </x:c>
      <x:c r="L71" s="55" t="str">
        <x:v>Add processor security safeguards to contracts.</x:v>
      </x:c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5" t="str">
        <x:v>B1.1</x:v>
      </x:c>
      <x:c r="B72" s="55" t="str">
        <x:v>D12</x:v>
      </x:c>
      <x:c r="C72" s="55" t="str">
        <x:v>Personal data breach readiness</x:v>
      </x:c>
      <x:c r="D72" s="55" t="n">
        <x:v>8</x:v>
      </x:c>
      <x:c r="E72" s="55" t="str">
        <x:v>Mandatory</x:v>
      </x:c>
      <x:c r="F72" s="55" t="str">
        <x:v>Does the organisation have a DPDP-specific personal data breach response playbook?</x:v>
      </x:c>
      <x:c r="G72" s="55" t="str">
        <x:v>Breach response playbook</x:v>
      </x:c>
      <x:c r="H72" s="55" t="str">
        <x:v>Mapped to DPDP Act 2023 / DPDP Rules 2025 operational readiness requirement.</x:v>
      </x:c>
      <x:c r="I72" s="55" t="str">
        <x:v>Critical</x:v>
      </x:c>
      <x:c r="J72" s="55" t="str">
        <x:v>IT/Security + Legal</x:v>
      </x:c>
      <x:c r="K72" s="55" t="str">
        <x:v>Breach Response Workflow</x:v>
      </x:c>
      <x:c r="L72" s="55" t="str">
        <x:v>Create DPDP-specific breach playbook.</x:v>
      </x:c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5" t="str">
        <x:v>B1.2</x:v>
      </x:c>
      <x:c r="B73" s="55" t="str">
        <x:v>D12</x:v>
      </x:c>
      <x:c r="C73" s="55" t="str">
        <x:v>Personal data breach readiness</x:v>
      </x:c>
      <x:c r="D73" s="55" t="n">
        <x:v>8</x:v>
      </x:c>
      <x:c r="E73" s="55" t="str">
        <x:v>Mandatory</x:v>
      </x:c>
      <x:c r="F73" s="55" t="str">
        <x:v>Can the organisation detect unauthorised access, accidental disclosure, data loss or leakage?</x:v>
      </x:c>
      <x:c r="G73" s="55" t="str">
        <x:v>Monitoring controls</x:v>
      </x:c>
      <x:c r="H73" s="55" t="str">
        <x:v>Mapped to DPDP Act 2023 / DPDP Rules 2025 operational readiness requirement.</x:v>
      </x:c>
      <x:c r="I73" s="55" t="str">
        <x:v>High</x:v>
      </x:c>
      <x:c r="J73" s="55" t="str">
        <x:v>IT/Security + Legal</x:v>
      </x:c>
      <x:c r="K73" s="55" t="str">
        <x:v>Breach Response Workflow</x:v>
      </x:c>
      <x:c r="L73" s="55" t="str">
        <x:v>Strengthen detection of personal-data breach events.</x:v>
      </x:c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5" t="str">
        <x:v>B1.3</x:v>
      </x:c>
      <x:c r="B74" s="55" t="str">
        <x:v>D12</x:v>
      </x:c>
      <x:c r="C74" s="55" t="str">
        <x:v>Personal data breach readiness</x:v>
      </x:c>
      <x:c r="D74" s="55" t="n">
        <x:v>8</x:v>
      </x:c>
      <x:c r="E74" s="55" t="str">
        <x:v>Mandatory</x:v>
      </x:c>
      <x:c r="F74" s="55" t="str">
        <x:v>Is there a process to assess breach nature, extent, timing, affected persons and likely consequences?</x:v>
      </x:c>
      <x:c r="G74" s="55" t="str">
        <x:v>Incident assessment template</x:v>
      </x:c>
      <x:c r="H74" s="55" t="str">
        <x:v>Mapped to DPDP Act 2023 / DPDP Rules 2025 operational readiness requirement.</x:v>
      </x:c>
      <x:c r="I74" s="55" t="str">
        <x:v>High</x:v>
      </x:c>
      <x:c r="J74" s="55" t="str">
        <x:v>IT/Security + Legal</x:v>
      </x:c>
      <x:c r="K74" s="55" t="str">
        <x:v>Breach Response Workflow</x:v>
      </x:c>
      <x:c r="L74" s="55" t="str">
        <x:v>Create breach triage and impact assessment template.</x:v>
      </x:c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5" t="str">
        <x:v>B1.4</x:v>
      </x:c>
      <x:c r="B75" s="55" t="str">
        <x:v>D12</x:v>
      </x:c>
      <x:c r="C75" s="55" t="str">
        <x:v>Personal data breach readiness</x:v>
      </x:c>
      <x:c r="D75" s="55" t="n">
        <x:v>8</x:v>
      </x:c>
      <x:c r="E75" s="55" t="str">
        <x:v>Mandatory</x:v>
      </x:c>
      <x:c r="F75" s="55" t="str">
        <x:v>Are templates ready for notifying affected Data Principals in clear and plain language?</x:v>
      </x:c>
      <x:c r="G75" s="55" t="str">
        <x:v>Notification template</x:v>
      </x:c>
      <x:c r="H75" s="55" t="str">
        <x:v>Mapped to DPDP Act 2023 / DPDP Rules 2025 operational readiness requirement.</x:v>
      </x:c>
      <x:c r="I75" s="55" t="str">
        <x:v>High</x:v>
      </x:c>
      <x:c r="J75" s="55" t="str">
        <x:v>IT/Security + Legal</x:v>
      </x:c>
      <x:c r="K75" s="55" t="str">
        <x:v>Breach Response Workflow</x:v>
      </x:c>
      <x:c r="L75" s="55" t="str">
        <x:v>Prepare affected Data Principal notification template.</x:v>
      </x:c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5" t="str">
        <x:v>B1.5</x:v>
      </x:c>
      <x:c r="B76" s="55" t="str">
        <x:v>D12</x:v>
      </x:c>
      <x:c r="C76" s="55" t="str">
        <x:v>Personal data breach readiness</x:v>
      </x:c>
      <x:c r="D76" s="55" t="n">
        <x:v>8</x:v>
      </x:c>
      <x:c r="E76" s="55" t="str">
        <x:v>Mandatory</x:v>
      </x:c>
      <x:c r="F76" s="55" t="str">
        <x:v>Are templates and responsibility owners defined for Board intimation and 72-hour detailed reporting?</x:v>
      </x:c>
      <x:c r="G76" s="55" t="str">
        <x:v>Board intimation template / tracker</x:v>
      </x:c>
      <x:c r="H76" s="55" t="str">
        <x:v>Mapped to DPDP Act 2023 / DPDP Rules 2025 operational readiness requirement.</x:v>
      </x:c>
      <x:c r="I76" s="55" t="str">
        <x:v>Critical</x:v>
      </x:c>
      <x:c r="J76" s="55" t="str">
        <x:v>IT/Security + Legal</x:v>
      </x:c>
      <x:c r="K76" s="55" t="str">
        <x:v>Breach Response Workflow</x:v>
      </x:c>
      <x:c r="L76" s="55" t="str">
        <x:v>Create Board intimation workflow and 72-hour tracker.</x:v>
      </x:c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5" t="str">
        <x:v>B1.6</x:v>
      </x:c>
      <x:c r="B77" s="55" t="str">
        <x:v>D12</x:v>
      </x:c>
      <x:c r="C77" s="55" t="str">
        <x:v>Personal data breach readiness</x:v>
      </x:c>
      <x:c r="D77" s="55" t="n">
        <x:v>8</x:v>
      </x:c>
      <x:c r="E77" s="55" t="str">
        <x:v>Mandatory</x:v>
      </x:c>
      <x:c r="F77" s="55" t="str">
        <x:v>Has the organisation conducted at least one breach simulation or tabletop drill?</x:v>
      </x:c>
      <x:c r="G77" s="55" t="str">
        <x:v>Drill report</x:v>
      </x:c>
      <x:c r="H77" s="55" t="str">
        <x:v>Mapped to DPDP Act 2023 / DPDP Rules 2025 operational readiness requirement.</x:v>
      </x:c>
      <x:c r="I77" s="55" t="str">
        <x:v>Medium</x:v>
      </x:c>
      <x:c r="J77" s="55" t="str">
        <x:v>IT/Security + Legal</x:v>
      </x:c>
      <x:c r="K77" s="55" t="str">
        <x:v>Breach Response Workflow</x:v>
      </x:c>
      <x:c r="L77" s="55" t="str">
        <x:v>Conduct breach tabletop exercise and store evidence.</x:v>
      </x:c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5" t="str">
        <x:v>V1.1</x:v>
      </x:c>
      <x:c r="B78" s="55" t="str">
        <x:v>D13</x:v>
      </x:c>
      <x:c r="C78" s="55" t="str">
        <x:v>Vendor / Data Processor governance</x:v>
      </x:c>
      <x:c r="D78" s="55" t="n">
        <x:v>7</x:v>
      </x:c>
      <x:c r="E78" s="55" t="str">
        <x:v>Mandatory where vendors exist</x:v>
      </x:c>
      <x:c r="F78" s="55" t="str">
        <x:v>Has the organisation identified all Data Processors handling personal data?</x:v>
      </x:c>
      <x:c r="G78" s="55" t="str">
        <x:v>Vendor/processor register</x:v>
      </x:c>
      <x:c r="H78" s="55" t="str">
        <x:v>Mapped to DPDP Act 2023 / DPDP Rules 2025 operational readiness requirement.</x:v>
      </x:c>
      <x:c r="I78" s="55" t="str">
        <x:v>High</x:v>
      </x:c>
      <x:c r="J78" s="55" t="str">
        <x:v>Procurement + Legal + IT</x:v>
      </x:c>
      <x:c r="K78" s="55" t="str">
        <x:v>Vendor Governance Register</x:v>
      </x:c>
      <x:c r="L78" s="55" t="str">
        <x:v>Create processor/vendor register.</x:v>
      </x:c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5" t="str">
        <x:v>V1.2</x:v>
      </x:c>
      <x:c r="B79" s="55" t="str">
        <x:v>D13</x:v>
      </x:c>
      <x:c r="C79" s="55" t="str">
        <x:v>Vendor / Data Processor governance</x:v>
      </x:c>
      <x:c r="D79" s="55" t="n">
        <x:v>7</x:v>
      </x:c>
      <x:c r="E79" s="55" t="str">
        <x:v>Mandatory where vendors exist</x:v>
      </x:c>
      <x:c r="F79" s="55" t="str">
        <x:v>Are valid contracts in place with all processors?</x:v>
      </x:c>
      <x:c r="G79" s="55" t="str">
        <x:v>Vendor contracts</x:v>
      </x:c>
      <x:c r="H79" s="55" t="str">
        <x:v>Mapped to DPDP Act 2023 / DPDP Rules 2025 operational readiness requirement.</x:v>
      </x:c>
      <x:c r="I79" s="55" t="str">
        <x:v>Critical</x:v>
      </x:c>
      <x:c r="J79" s="55" t="str">
        <x:v>Procurement + Legal + IT</x:v>
      </x:c>
      <x:c r="K79" s="55" t="str">
        <x:v>Vendor Governance Register</x:v>
      </x:c>
      <x:c r="L79" s="55" t="str">
        <x:v>Ensure valid contracts for all processors.</x:v>
      </x:c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5" t="str">
        <x:v>V1.3</x:v>
      </x:c>
      <x:c r="B80" s="55" t="str">
        <x:v>D13</x:v>
      </x:c>
      <x:c r="C80" s="55" t="str">
        <x:v>Vendor / Data Processor governance</x:v>
      </x:c>
      <x:c r="D80" s="55" t="n">
        <x:v>7</x:v>
      </x:c>
      <x:c r="E80" s="55" t="str">
        <x:v>Mandatory where vendors exist</x:v>
      </x:c>
      <x:c r="F80" s="55" t="str">
        <x:v>Do contracts restrict processing to authorised purposes?</x:v>
      </x:c>
      <x:c r="G80" s="55" t="str">
        <x:v>Contract clauses</x:v>
      </x:c>
      <x:c r="H80" s="55" t="str">
        <x:v>Mapped to DPDP Act 2023 / DPDP Rules 2025 operational readiness requirement.</x:v>
      </x:c>
      <x:c r="I80" s="55" t="str">
        <x:v>High</x:v>
      </x:c>
      <x:c r="J80" s="55" t="str">
        <x:v>Procurement + Legal + IT</x:v>
      </x:c>
      <x:c r="K80" s="55" t="str">
        <x:v>Vendor Governance Register</x:v>
      </x:c>
      <x:c r="L80" s="55" t="str">
        <x:v>Add purpose limitation to processor contracts.</x:v>
      </x:c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5" t="str">
        <x:v>V1.4</x:v>
      </x:c>
      <x:c r="B81" s="55" t="str">
        <x:v>D13</x:v>
      </x:c>
      <x:c r="C81" s="55" t="str">
        <x:v>Vendor / Data Processor governance</x:v>
      </x:c>
      <x:c r="D81" s="55" t="n">
        <x:v>7</x:v>
      </x:c>
      <x:c r="E81" s="55" t="str">
        <x:v>Mandatory where vendors exist</x:v>
      </x:c>
      <x:c r="F81" s="55" t="str">
        <x:v>Do contracts require reasonable security safeguards and breach reporting?</x:v>
      </x:c>
      <x:c r="G81" s="55" t="str">
        <x:v>DPDP/security addendum</x:v>
      </x:c>
      <x:c r="H81" s="55" t="str">
        <x:v>Mapped to DPDP Act 2023 / DPDP Rules 2025 operational readiness requirement.</x:v>
      </x:c>
      <x:c r="I81" s="55" t="str">
        <x:v>High</x:v>
      </x:c>
      <x:c r="J81" s="55" t="str">
        <x:v>Procurement + Legal + IT</x:v>
      </x:c>
      <x:c r="K81" s="55" t="str">
        <x:v>Vendor Governance Register</x:v>
      </x:c>
      <x:c r="L81" s="55" t="str">
        <x:v>Add security and breach clauses.</x:v>
      </x:c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5" t="str">
        <x:v>V1.5</x:v>
      </x:c>
      <x:c r="B82" s="55" t="str">
        <x:v>D13</x:v>
      </x:c>
      <x:c r="C82" s="55" t="str">
        <x:v>Vendor / Data Processor governance</x:v>
      </x:c>
      <x:c r="D82" s="55" t="n">
        <x:v>7</x:v>
      </x:c>
      <x:c r="E82" s="55" t="str">
        <x:v>Mandatory where vendors exist</x:v>
      </x:c>
      <x:c r="F82" s="55" t="str">
        <x:v>Are sub-processors, cloud locations and cross-border transfers reviewed?</x:v>
      </x:c>
      <x:c r="G82" s="55" t="str">
        <x:v>Vendor questionnaire / location map</x:v>
      </x:c>
      <x:c r="H82" s="55" t="str">
        <x:v>Mapped to DPDP Act 2023 / DPDP Rules 2025 operational readiness requirement.</x:v>
      </x:c>
      <x:c r="I82" s="55" t="str">
        <x:v>High</x:v>
      </x:c>
      <x:c r="J82" s="55" t="str">
        <x:v>Procurement + Legal + IT</x:v>
      </x:c>
      <x:c r="K82" s="55" t="str">
        <x:v>Vendor Governance Register</x:v>
      </x:c>
      <x:c r="L82" s="55" t="str">
        <x:v>Collect sub-processor and data-location details.</x:v>
      </x:c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5" t="str">
        <x:v>V1.6</x:v>
      </x:c>
      <x:c r="B83" s="55" t="str">
        <x:v>D13</x:v>
      </x:c>
      <x:c r="C83" s="55" t="str">
        <x:v>Vendor / Data Processor governance</x:v>
      </x:c>
      <x:c r="D83" s="55" t="n">
        <x:v>7</x:v>
      </x:c>
      <x:c r="E83" s="55" t="str">
        <x:v>Mandatory where vendors exist</x:v>
      </x:c>
      <x:c r="F83" s="55" t="str">
        <x:v>Is there a process to review vendor DPDP readiness periodically?</x:v>
      </x:c>
      <x:c r="G83" s="55" t="str">
        <x:v>Vendor review records</x:v>
      </x:c>
      <x:c r="H83" s="55" t="str">
        <x:v>Mapped to DPDP Act 2023 / DPDP Rules 2025 operational readiness requirement.</x:v>
      </x:c>
      <x:c r="I83" s="55" t="str">
        <x:v>Medium</x:v>
      </x:c>
      <x:c r="J83" s="55" t="str">
        <x:v>Procurement + Legal + IT</x:v>
      </x:c>
      <x:c r="K83" s="55" t="str">
        <x:v>Vendor Governance Register</x:v>
      </x:c>
      <x:c r="L83" s="55" t="str">
        <x:v>Create vendor DPDP review cadence.</x:v>
      </x:c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5" t="str">
        <x:v>CH1.1</x:v>
      </x:c>
      <x:c r="B84" s="55" t="str">
        <x:v>D14</x:v>
      </x:c>
      <x:c r="C84" s="55" t="str">
        <x:v>Children’s data and guardian consent</x:v>
      </x:c>
      <x:c r="D84" s="55" t="n">
        <x:v>4</x:v>
      </x:c>
      <x:c r="E84" s="55" t="str">
        <x:v>Conditional</x:v>
      </x:c>
      <x:c r="F84" s="55" t="str">
        <x:v>Does the organisation process personal data of individuals below 18 years?</x:v>
      </x:c>
      <x:c r="G84" s="55" t="str">
        <x:v>Age analysis</x:v>
      </x:c>
      <x:c r="H84" s="55" t="str">
        <x:v>Mapped to DPDP Act 2023 / DPDP Rules 2025 operational readiness requirement.</x:v>
      </x:c>
      <x:c r="I84" s="55" t="str">
        <x:v>High</x:v>
      </x:c>
      <x:c r="J84" s="55" t="str">
        <x:v>Admissions + Legal + IT</x:v>
      </x:c>
      <x:c r="K84" s="55" t="str">
        <x:v>Children’s Data Checklist</x:v>
      </x:c>
      <x:c r="L84" s="55" t="str">
        <x:v>Assess whether under-18 personal data is processed.</x:v>
      </x:c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5" t="str">
        <x:v>CH1.2</x:v>
      </x:c>
      <x:c r="B85" s="55" t="str">
        <x:v>D14</x:v>
      </x:c>
      <x:c r="C85" s="55" t="str">
        <x:v>Children’s data and guardian consent</x:v>
      </x:c>
      <x:c r="D85" s="55" t="n">
        <x:v>4</x:v>
      </x:c>
      <x:c r="E85" s="55" t="str">
        <x:v>Conditional</x:v>
      </x:c>
      <x:c r="F85" s="55" t="str">
        <x:v>Is there an age-identification or age-declaration mechanism where relevant?</x:v>
      </x:c>
      <x:c r="G85" s="55" t="str">
        <x:v>Age-gate/declaration screenshots</x:v>
      </x:c>
      <x:c r="H85" s="55" t="str">
        <x:v>Mapped to DPDP Act 2023 / DPDP Rules 2025 operational readiness requirement.</x:v>
      </x:c>
      <x:c r="I85" s="55" t="str">
        <x:v>High</x:v>
      </x:c>
      <x:c r="J85" s="55" t="str">
        <x:v>Admissions + Legal + IT</x:v>
      </x:c>
      <x:c r="K85" s="55" t="str">
        <x:v>Children’s Data Checklist</x:v>
      </x:c>
      <x:c r="L85" s="55" t="str">
        <x:v>Implement age identification/declaration where relevant.</x:v>
      </x:c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5" t="str">
        <x:v>CH1.3</x:v>
      </x:c>
      <x:c r="B86" s="55" t="str">
        <x:v>D14</x:v>
      </x:c>
      <x:c r="C86" s="55" t="str">
        <x:v>Children’s data and guardian consent</x:v>
      </x:c>
      <x:c r="D86" s="55" t="n">
        <x:v>4</x:v>
      </x:c>
      <x:c r="E86" s="55" t="str">
        <x:v>Conditional</x:v>
      </x:c>
      <x:c r="F86" s="55" t="str">
        <x:v>Is verifiable parental/guardian consent obtained before processing children’s data where required?</x:v>
      </x:c>
      <x:c r="G86" s="55" t="str">
        <x:v>Parent/guardian consent logs</x:v>
      </x:c>
      <x:c r="H86" s="55" t="str">
        <x:v>Mapped to DPDP Act 2023 / DPDP Rules 2025 operational readiness requirement.</x:v>
      </x:c>
      <x:c r="I86" s="55" t="str">
        <x:v>Critical</x:v>
      </x:c>
      <x:c r="J86" s="55" t="str">
        <x:v>Admissions + Legal + IT</x:v>
      </x:c>
      <x:c r="K86" s="55" t="str">
        <x:v>Children’s Data Checklist</x:v>
      </x:c>
      <x:c r="L86" s="55" t="str">
        <x:v>Implement verifiable parental/guardian consent workflow.</x:v>
      </x:c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5" t="str">
        <x:v>CH1.4</x:v>
      </x:c>
      <x:c r="B87" s="55" t="str">
        <x:v>D14</x:v>
      </x:c>
      <x:c r="C87" s="55" t="str">
        <x:v>Children’s data and guardian consent</x:v>
      </x:c>
      <x:c r="D87" s="55" t="n">
        <x:v>4</x:v>
      </x:c>
      <x:c r="E87" s="55" t="str">
        <x:v>Conditional</x:v>
      </x:c>
      <x:c r="F87" s="55" t="str">
        <x:v>Is children’s data protected from harmful processing, tracking, behavioural monitoring and targeted advertising?</x:v>
      </x:c>
      <x:c r="G87" s="55" t="str">
        <x:v>Policy / system controls</x:v>
      </x:c>
      <x:c r="H87" s="55" t="str">
        <x:v>Mapped to DPDP Act 2023 / DPDP Rules 2025 operational readiness requirement.</x:v>
      </x:c>
      <x:c r="I87" s="55" t="str">
        <x:v>Critical</x:v>
      </x:c>
      <x:c r="J87" s="55" t="str">
        <x:v>Admissions + Legal + IT</x:v>
      </x:c>
      <x:c r="K87" s="55" t="str">
        <x:v>Children’s Data Checklist</x:v>
      </x:c>
      <x:c r="L87" s="55" t="str">
        <x:v>Stop or control prohibited/high-risk child-data processing.</x:v>
      </x:c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5" t="str">
        <x:v>CH1.5</x:v>
      </x:c>
      <x:c r="B88" s="55" t="str">
        <x:v>D14</x:v>
      </x:c>
      <x:c r="C88" s="55" t="str">
        <x:v>Children’s data and guardian consent</x:v>
      </x:c>
      <x:c r="D88" s="55" t="n">
        <x:v>4</x:v>
      </x:c>
      <x:c r="E88" s="55" t="str">
        <x:v>Conditional</x:v>
      </x:c>
      <x:c r="F88" s="55" t="str">
        <x:v>Are vendors processing children’s data subject to specific restrictions and safeguards?</x:v>
      </x:c>
      <x:c r="G88" s="55" t="str">
        <x:v>Vendor clauses</x:v>
      </x:c>
      <x:c r="H88" s="55" t="str">
        <x:v>Mapped to DPDP Act 2023 / DPDP Rules 2025 operational readiness requirement.</x:v>
      </x:c>
      <x:c r="I88" s="55" t="str">
        <x:v>High</x:v>
      </x:c>
      <x:c r="J88" s="55" t="str">
        <x:v>Admissions + Legal + IT</x:v>
      </x:c>
      <x:c r="K88" s="55" t="str">
        <x:v>Children’s Data Checklist</x:v>
      </x:c>
      <x:c r="L88" s="55" t="str">
        <x:v>Add children’s-data restrictions and safeguards to vendors.</x:v>
      </x:c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5" t="str">
        <x:v>CB1.1</x:v>
      </x:c>
      <x:c r="B89" s="55" t="str">
        <x:v>D15</x:v>
      </x:c>
      <x:c r="C89" s="55" t="str">
        <x:v>Cross-border transfer and cloud/SaaS risk</x:v>
      </x:c>
      <x:c r="D89" s="55" t="n">
        <x:v>3</x:v>
      </x:c>
      <x:c r="E89" s="55" t="str">
        <x:v>Conditional</x:v>
      </x:c>
      <x:c r="F89" s="55" t="str">
        <x:v>Does the organisation know whether personal data is stored, accessed or processed outside India?</x:v>
      </x:c>
      <x:c r="G89" s="55" t="str">
        <x:v>Cloud/SaaS location map</x:v>
      </x:c>
      <x:c r="H89" s="55" t="str">
        <x:v>Mapped to DPDP Act 2023 / DPDP Rules 2025 operational readiness requirement.</x:v>
      </x:c>
      <x:c r="I89" s="55" t="str">
        <x:v>High</x:v>
      </x:c>
      <x:c r="J89" s="55" t="str">
        <x:v>IT + Procurement + Legal</x:v>
      </x:c>
      <x:c r="K89" s="55" t="str">
        <x:v>Cross-Border Transfer Register</x:v>
      </x:c>
      <x:c r="L89" s="55" t="str">
        <x:v>Map storage, access and processing locations.</x:v>
      </x:c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5" t="str">
        <x:v>CB1.2</x:v>
      </x:c>
      <x:c r="B90" s="55" t="str">
        <x:v>D15</x:v>
      </x:c>
      <x:c r="C90" s="55" t="str">
        <x:v>Cross-border transfer and cloud/SaaS risk</x:v>
      </x:c>
      <x:c r="D90" s="55" t="n">
        <x:v>3</x:v>
      </x:c>
      <x:c r="E90" s="55" t="str">
        <x:v>Conditional</x:v>
      </x:c>
      <x:c r="F90" s="55" t="str">
        <x:v>Are foreign SaaS, cloud, email, analytics, CRM, LMS, AI or support vendors identified?</x:v>
      </x:c>
      <x:c r="G90" s="55" t="str">
        <x:v>Vendor location register</x:v>
      </x:c>
      <x:c r="H90" s="55" t="str">
        <x:v>Mapped to DPDP Act 2023 / DPDP Rules 2025 operational readiness requirement.</x:v>
      </x:c>
      <x:c r="I90" s="55" t="str">
        <x:v>High</x:v>
      </x:c>
      <x:c r="J90" s="55" t="str">
        <x:v>IT + Procurement + Legal</x:v>
      </x:c>
      <x:c r="K90" s="55" t="str">
        <x:v>Cross-Border Transfer Register</x:v>
      </x:c>
      <x:c r="L90" s="55" t="str">
        <x:v>Identify foreign or remote-access vendors.</x:v>
      </x:c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5" t="str">
        <x:v>CB1.3</x:v>
      </x:c>
      <x:c r="B91" s="55" t="str">
        <x:v>D15</x:v>
      </x:c>
      <x:c r="C91" s="55" t="str">
        <x:v>Cross-border transfer and cloud/SaaS risk</x:v>
      </x:c>
      <x:c r="D91" s="55" t="n">
        <x:v>3</x:v>
      </x:c>
      <x:c r="E91" s="55" t="str">
        <x:v>Conditional</x:v>
      </x:c>
      <x:c r="F91" s="55" t="str">
        <x:v>Are contracts reviewed for data location, foreign access and transfer restrictions?</x:v>
      </x:c>
      <x:c r="G91" s="55" t="str">
        <x:v>Contract review record</x:v>
      </x:c>
      <x:c r="H91" s="55" t="str">
        <x:v>Mapped to DPDP Act 2023 / DPDP Rules 2025 operational readiness requirement.</x:v>
      </x:c>
      <x:c r="I91" s="55" t="str">
        <x:v>Medium</x:v>
      </x:c>
      <x:c r="J91" s="55" t="str">
        <x:v>IT + Procurement + Legal</x:v>
      </x:c>
      <x:c r="K91" s="55" t="str">
        <x:v>Cross-Border Transfer Register</x:v>
      </x:c>
      <x:c r="L91" s="55" t="str">
        <x:v>Review and update transfer/data-location clauses.</x:v>
      </x:c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5" t="str">
        <x:v>CB1.4</x:v>
      </x:c>
      <x:c r="B92" s="55" t="str">
        <x:v>D15</x:v>
      </x:c>
      <x:c r="C92" s="55" t="str">
        <x:v>Cross-border transfer and cloud/SaaS risk</x:v>
      </x:c>
      <x:c r="D92" s="55" t="n">
        <x:v>3</x:v>
      </x:c>
      <x:c r="E92" s="55" t="str">
        <x:v>Conditional</x:v>
      </x:c>
      <x:c r="F92" s="55" t="str">
        <x:v>Are backups, logs and support access locations included in transfer assessment?</x:v>
      </x:c>
      <x:c r="G92" s="55" t="str">
        <x:v>Architecture/support-access review</x:v>
      </x:c>
      <x:c r="H92" s="55" t="str">
        <x:v>Mapped to DPDP Act 2023 / DPDP Rules 2025 operational readiness requirement.</x:v>
      </x:c>
      <x:c r="I92" s="55" t="str">
        <x:v>Medium</x:v>
      </x:c>
      <x:c r="J92" s="55" t="str">
        <x:v>IT + Procurement + Legal</x:v>
      </x:c>
      <x:c r="K92" s="55" t="str">
        <x:v>Cross-Border Transfer Register</x:v>
      </x:c>
      <x:c r="L92" s="55" t="str">
        <x:v>Include backups, logs and support locations in assessment.</x:v>
      </x:c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5" t="str">
        <x:v>CB1.5</x:v>
      </x:c>
      <x:c r="B93" s="55" t="str">
        <x:v>D15</x:v>
      </x:c>
      <x:c r="C93" s="55" t="str">
        <x:v>Cross-border transfer and cloud/SaaS risk</x:v>
      </x:c>
      <x:c r="D93" s="55" t="n">
        <x:v>3</x:v>
      </x:c>
      <x:c r="E93" s="55" t="str">
        <x:v>Conditional</x:v>
      </x:c>
      <x:c r="F93" s="55" t="str">
        <x:v>Is there a process to respond to future Government transfer restrictions?</x:v>
      </x:c>
      <x:c r="G93" s="55" t="str">
        <x:v>Cross-border transfer SOP</x:v>
      </x:c>
      <x:c r="H93" s="55" t="str">
        <x:v>Mapped to DPDP Act 2023 / DPDP Rules 2025 operational readiness requirement.</x:v>
      </x:c>
      <x:c r="I93" s="55" t="str">
        <x:v>Medium</x:v>
      </x:c>
      <x:c r="J93" s="55" t="str">
        <x:v>IT + Procurement + Legal</x:v>
      </x:c>
      <x:c r="K93" s="55" t="str">
        <x:v>Cross-Border Transfer Register</x:v>
      </x:c>
      <x:c r="L93" s="55" t="str">
        <x:v>Create transfer-monitoring SOP.</x:v>
      </x:c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5" t="str">
        <x:v>SDF1.1</x:v>
      </x:c>
      <x:c r="B94" s="55" t="str">
        <x:v>D16</x:v>
      </x:c>
      <x:c r="C94" s="55" t="str">
        <x:v>SDF, DPIA, audit and AI/algorithmic risk readiness</x:v>
      </x:c>
      <x:c r="D94" s="55" t="n">
        <x:v>5</x:v>
      </x:c>
      <x:c r="E94" s="55" t="str">
        <x:v>Conditional</x:v>
      </x:c>
      <x:c r="F94" s="55" t="str">
        <x:v>Has the organisation assessed whether Significant Data Fiduciary obligations may become relevant?</x:v>
      </x:c>
      <x:c r="G94" s="55" t="str">
        <x:v>SDF readiness note</x:v>
      </x:c>
      <x:c r="H94" s="55" t="str">
        <x:v>Mapped to DPDP Act 2023 / DPDP Rules 2025 operational readiness requirement.</x:v>
      </x:c>
      <x:c r="I94" s="55" t="str">
        <x:v>Medium</x:v>
      </x:c>
      <x:c r="J94" s="55" t="str">
        <x:v>Legal + AI Governance + IT</x:v>
      </x:c>
      <x:c r="K94" s="55" t="str">
        <x:v>DPIA / AI Risk Register</x:v>
      </x:c>
      <x:c r="L94" s="55" t="str">
        <x:v>Prepare SDF readiness note.</x:v>
      </x:c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5" t="str">
        <x:v>SDF1.2</x:v>
      </x:c>
      <x:c r="B95" s="55" t="str">
        <x:v>D16</x:v>
      </x:c>
      <x:c r="C95" s="55" t="str">
        <x:v>SDF, DPIA, audit and AI/algorithmic risk readiness</x:v>
      </x:c>
      <x:c r="D95" s="55" t="n">
        <x:v>5</x:v>
      </x:c>
      <x:c r="E95" s="55" t="str">
        <x:v>Conditional</x:v>
      </x:c>
      <x:c r="F95" s="55" t="str">
        <x:v>Is there a DPO-like or privacy leadership role even if formal SDF notification has not occurred?</x:v>
      </x:c>
      <x:c r="G95" s="55" t="str">
        <x:v>Role charter</x:v>
      </x:c>
      <x:c r="H95" s="55" t="str">
        <x:v>Mapped to DPDP Act 2023 / DPDP Rules 2025 operational readiness requirement.</x:v>
      </x:c>
      <x:c r="I95" s="55" t="str">
        <x:v>Medium</x:v>
      </x:c>
      <x:c r="J95" s="55" t="str">
        <x:v>Legal + AI Governance + IT</x:v>
      </x:c>
      <x:c r="K95" s="55" t="str">
        <x:v>DPIA / AI Risk Register</x:v>
      </x:c>
      <x:c r="L95" s="55" t="str">
        <x:v>Define privacy leadership role.</x:v>
      </x:c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5" t="str">
        <x:v>SDF1.3</x:v>
      </x:c>
      <x:c r="B96" s="55" t="str">
        <x:v>D16</x:v>
      </x:c>
      <x:c r="C96" s="55" t="str">
        <x:v>SDF, DPIA, audit and AI/algorithmic risk readiness</x:v>
      </x:c>
      <x:c r="D96" s="55" t="n">
        <x:v>5</x:v>
      </x:c>
      <x:c r="E96" s="55" t="str">
        <x:v>Conditional</x:v>
      </x:c>
      <x:c r="F96" s="55" t="str">
        <x:v>Is the organisation prepared to conduct DPIA for high-risk processing?</x:v>
      </x:c>
      <x:c r="G96" s="55" t="str">
        <x:v>DPIA template</x:v>
      </x:c>
      <x:c r="H96" s="55" t="str">
        <x:v>Mapped to DPDP Act 2023 / DPDP Rules 2025 operational readiness requirement.</x:v>
      </x:c>
      <x:c r="I96" s="55" t="str">
        <x:v>High</x:v>
      </x:c>
      <x:c r="J96" s="55" t="str">
        <x:v>Legal + AI Governance + IT</x:v>
      </x:c>
      <x:c r="K96" s="55" t="str">
        <x:v>DPIA / AI Risk Register</x:v>
      </x:c>
      <x:c r="L96" s="55" t="str">
        <x:v>Create DPIA template and trigger criteria.</x:v>
      </x:c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5" t="str">
        <x:v>SDF1.4</x:v>
      </x:c>
      <x:c r="B97" s="55" t="str">
        <x:v>D16</x:v>
      </x:c>
      <x:c r="C97" s="55" t="str">
        <x:v>SDF, DPIA, audit and AI/algorithmic risk readiness</x:v>
      </x:c>
      <x:c r="D97" s="55" t="n">
        <x:v>5</x:v>
      </x:c>
      <x:c r="E97" s="55" t="str">
        <x:v>Conditional</x:v>
      </x:c>
      <x:c r="F97" s="55" t="str">
        <x:v>Is there a process for periodic audit of DPDP controls?</x:v>
      </x:c>
      <x:c r="G97" s="55" t="str">
        <x:v>Audit plan</x:v>
      </x:c>
      <x:c r="H97" s="55" t="str">
        <x:v>Mapped to DPDP Act 2023 / DPDP Rules 2025 operational readiness requirement.</x:v>
      </x:c>
      <x:c r="I97" s="55" t="str">
        <x:v>Medium</x:v>
      </x:c>
      <x:c r="J97" s="55" t="str">
        <x:v>Legal + AI Governance + IT</x:v>
      </x:c>
      <x:c r="K97" s="55" t="str">
        <x:v>DPIA / AI Risk Register</x:v>
      </x:c>
      <x:c r="L97" s="55" t="str">
        <x:v>Create DPDP audit/review plan.</x:v>
      </x:c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5" t="str">
        <x:v>SDF1.5</x:v>
      </x:c>
      <x:c r="B98" s="55" t="str">
        <x:v>D16</x:v>
      </x:c>
      <x:c r="C98" s="55" t="str">
        <x:v>SDF, DPIA, audit and AI/algorithmic risk readiness</x:v>
      </x:c>
      <x:c r="D98" s="55" t="n">
        <x:v>5</x:v>
      </x:c>
      <x:c r="E98" s="55" t="str">
        <x:v>Conditional</x:v>
      </x:c>
      <x:c r="F98" s="55" t="str">
        <x:v>Are AI systems, analytics tools, automated decision systems and algorithmic software reviewed for privacy risk?</x:v>
      </x:c>
      <x:c r="G98" s="55" t="str">
        <x:v>AI system register</x:v>
      </x:c>
      <x:c r="H98" s="55" t="str">
        <x:v>Mapped to DPDP Act 2023 / DPDP Rules 2025 operational readiness requirement.</x:v>
      </x:c>
      <x:c r="I98" s="55" t="str">
        <x:v>High</x:v>
      </x:c>
      <x:c r="J98" s="55" t="str">
        <x:v>Legal + AI Governance + IT</x:v>
      </x:c>
      <x:c r="K98" s="55" t="str">
        <x:v>DPIA / AI Risk Register</x:v>
      </x:c>
      <x:c r="L98" s="55" t="str">
        <x:v>Create AI system register and privacy risk review.</x:v>
      </x:c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5" t="str">
        <x:v>SDF1.6</x:v>
      </x:c>
      <x:c r="B99" s="55" t="str">
        <x:v>D16</x:v>
      </x:c>
      <x:c r="C99" s="55" t="str">
        <x:v>SDF, DPIA, audit and AI/algorithmic risk readiness</x:v>
      </x:c>
      <x:c r="D99" s="55" t="n">
        <x:v>5</x:v>
      </x:c>
      <x:c r="E99" s="55" t="str">
        <x:v>Conditional</x:v>
      </x:c>
      <x:c r="F99" s="55" t="str">
        <x:v>Are high-impact automated decisions reviewed for fairness, explainability, accuracy and risk to Data Principal rights?</x:v>
      </x:c>
      <x:c r="G99" s="55" t="str">
        <x:v>AI risk assessment</x:v>
      </x:c>
      <x:c r="H99" s="55" t="str">
        <x:v>Mapped to DPDP Act 2023 / DPDP Rules 2025 operational readiness requirement.</x:v>
      </x:c>
      <x:c r="I99" s="55" t="str">
        <x:v>High</x:v>
      </x:c>
      <x:c r="J99" s="55" t="str">
        <x:v>Legal + AI Governance + IT</x:v>
      </x:c>
      <x:c r="K99" s="55" t="str">
        <x:v>DPIA / AI Risk Register</x:v>
      </x:c>
      <x:c r="L99" s="55" t="str">
        <x:v>Review automated decisions for privacy and Data Principal risk.</x:v>
      </x:c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pageMargins left="0.7" right="0.7" top="0.75" bottom="0.75" header="0.3" footer="0.3"/>
  <x:tableParts count="1">
    <x:tablePart xmlns:r="http://schemas.openxmlformats.org/officeDocument/2006/relationships" r:id="R060b5b2bc30c4d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8" hidden="0" customWidth="1"/>
    <x:col min="4" max="4" width="55" hidden="0" customWidth="1"/>
    <x:col min="5" max="5" width="15" hidden="0" customWidth="1"/>
    <x:col min="6" max="6" width="14" hidden="0" customWidth="1"/>
    <x:col min="7" max="7" width="14" hidden="0" customWidth="1"/>
    <x:col min="8" max="8" width="16" hidden="0" customWidth="1"/>
    <x:col min="9" max="9" width="13" hidden="0" customWidth="1"/>
    <x:col min="10" max="10" width="12" hidden="0" customWidth="1"/>
    <x:col min="11" max="11" width="13" hidden="0" customWidth="1"/>
    <x:col min="12" max="12" width="10" hidden="0" customWidth="1"/>
    <x:col min="13" max="13" width="28" hidden="0" customWidth="1"/>
    <x:col min="15" max="15" width="45" hidden="0" customWidth="1"/>
    <x:col min="16" max="16" width="28" hidden="0" customWidth="1"/>
    <x:col min="17" max="17" width="32" hidden="0" customWidth="1"/>
  </x:cols>
  <x:sheetData>
    <x:row r="1">
      <x:c r="A1" s="63" t="str">
        <x:v>Question ID</x:v>
      </x:c>
      <x:c r="B1" s="63" t="str">
        <x:v>Domain ID</x:v>
      </x:c>
      <x:c r="C1" s="63" t="str">
        <x:v>Domain</x:v>
      </x:c>
      <x:c r="D1" s="63" t="str">
        <x:v>Question</x:v>
      </x:c>
      <x:c r="E1" s="63" t="str">
        <x:v>Applicability</x:v>
      </x:c>
      <x:c r="F1" s="63" t="str">
        <x:v>Maturity Score (0-5)</x:v>
      </x:c>
      <x:c r="G1" s="63" t="str">
        <x:v>Evidence Level (0-5)</x:v>
      </x:c>
      <x:c r="H1" s="63" t="str">
        <x:v>Evidence Status</x:v>
      </x:c>
      <x:c r="I1" s="63" t="str">
        <x:v>Evidence Current</x:v>
      </x:c>
      <x:c r="J1" s="63" t="str">
        <x:v>Adjusted Score</x:v>
      </x:c>
      <x:c r="K1" s="63" t="str">
        <x:v>Gap Severity</x:v>
      </x:c>
      <x:c r="L1" s="63" t="str">
        <x:v>Priority</x:v>
      </x:c>
      <x:c r="M1" s="63" t="str">
        <x:v>Owner</x:v>
      </x:c>
      <x:c r="N1" s="63" t="str">
        <x:v>Evidence Confidence %</x:v>
      </x:c>
      <x:c r="O1" s="63" t="str">
        <x:v>Recommended Fix</x:v>
      </x:c>
      <x:c r="P1" s="63" t="str">
        <x:v>TrustStack Module</x:v>
      </x:c>
      <x:c r="Q1" s="63" t="str">
        <x:v>Evidence Required</x:v>
      </x:c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G1.1</x:v>
      </x:c>
      <x:c r="B2" s="55" t="str">
        <x:v>D01</x:v>
      </x:c>
      <x:c r="C2" s="55" t="str">
        <x:v>Governance, accountability and DPDP ownership</x:v>
      </x:c>
      <x:c r="D2" s="55" t="str">
        <x:v>Has the organisation identified whether it acts as Data Fiduciary, Data Processor, or both for different processes?</x:v>
      </x:c>
      <x:c r="E2" s="55" t="str">
        <x:v>Applicable</x:v>
      </x:c>
      <x:c r="F2" s="55" t="n">
        <x:v>2</x:v>
      </x:c>
      <x:c r="G2" s="55" t="n">
        <x:v>2</x:v>
      </x:c>
      <x:c r="H2" s="55" t="str">
        <x:v>Partial</x:v>
      </x:c>
      <x:c r="I2" s="55" t="str">
        <x:v>Yes</x:v>
      </x:c>
      <x:c r="J2" s="55" t="n">
        <x:f>IF($E2="Not Applicable","",IF($I2="No",MIN($F2,$G2,3),MIN($F2,$G2)))</x:f>
        <x:v>2</x:v>
      </x:c>
      <x:c r="K2" s="55" t="str">
        <x:f>IF($E2="Not Applicable","N/A",IF($J2&gt;=5,"No Gap",IF($J2&gt;=4,"Improvement",IF($J2&gt;=3,"Low",IF($J2&gt;=2,"Medium",IF($J2&gt;=1,"High","Critical"))))))</x:f>
        <x:v>Medium</x:v>
      </x:c>
      <x:c r="L2" s="55" t="str">
        <x:f>IF($K2="Critical","P0",IF($K2="High","P1",IF($K2="Medium","P2",IF($K2="Low","P3",IF($K2="Improvement","P3","Monitor")))))</x:f>
        <x:v>P2</x:v>
      </x:c>
      <x:c r="M2" s="55" t="str">
        <x:v>Executive Sponsor / DPDP Owner</x:v>
      </x:c>
      <x:c r="N2" s="66" t="n">
        <x:f>IF($E2="Not Applicable","",$G2/5)</x:f>
        <x:v>0.4</x:v>
      </x:c>
      <x:c r="O2" s="55" t="str">
        <x:v>Create role-mapping for each major process and vendor relationship.</x:v>
      </x:c>
      <x:c r="P2" s="55" t="str">
        <x:v>Governance Repository</x:v>
      </x:c>
      <x:c r="Q2" s="55" t="str">
        <x:v>Role mapping document / fiduciary-processor classification</x:v>
      </x:c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G1.2</x:v>
      </x:c>
      <x:c r="B3" s="55" t="str">
        <x:v>D01</x:v>
      </x:c>
      <x:c r="C3" s="55" t="str">
        <x:v>Governance, accountability and DPDP ownership</x:v>
      </x:c>
      <x:c r="D3" s="55" t="str">
        <x:v>Is there a formally nominated DPDP owner or nodal officer?</x:v>
      </x:c>
      <x:c r="E3" s="55" t="str">
        <x:v>Applicable</x:v>
      </x:c>
      <x:c r="F3" s="55" t="n">
        <x:v>1</x:v>
      </x:c>
      <x:c r="G3" s="55" t="n">
        <x:v>1</x:v>
      </x:c>
      <x:c r="H3" s="55" t="str">
        <x:v>Requested</x:v>
      </x:c>
      <x:c r="I3" s="55" t="str">
        <x:v>Yes</x:v>
      </x:c>
      <x:c r="J3" s="55" t="n">
        <x:f>IF($E3="Not Applicable","",IF($I3="No",MIN($F3,$G3,3),MIN($F3,$G3)))</x:f>
        <x:v>1</x:v>
      </x:c>
      <x:c r="K3" s="55" t="str">
        <x:f>IF($E3="Not Applicable","N/A",IF($J3&gt;=5,"No Gap",IF($J3&gt;=4,"Improvement",IF($J3&gt;=3,"Low",IF($J3&gt;=2,"Medium",IF($J3&gt;=1,"High","Critical"))))))</x:f>
        <x:v>High</x:v>
      </x:c>
      <x:c r="L3" s="55" t="str">
        <x:f>IF($K3="Critical","P0",IF($K3="High","P1",IF($K3="Medium","P2",IF($K3="Low","P3",IF($K3="Improvement","P3","Monitor")))))</x:f>
        <x:v>P1</x:v>
      </x:c>
      <x:c r="M3" s="55" t="str">
        <x:v>Executive Sponsor / DPDP Owner</x:v>
      </x:c>
      <x:c r="N3" s="66" t="n">
        <x:f>IF($E3="Not Applicable","",$G3/5)</x:f>
        <x:v>0.2</x:v>
      </x:c>
      <x:c r="O3" s="55" t="str">
        <x:v>Nominate DPDP owner and publish internal responsibility note.</x:v>
      </x:c>
      <x:c r="P3" s="55" t="str">
        <x:v>Governance Repository</x:v>
      </x:c>
      <x:c r="Q3" s="55" t="str">
        <x:v>Appointment note / office order / email</x:v>
      </x:c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G1.3</x:v>
      </x:c>
      <x:c r="B4" s="55" t="str">
        <x:v>D01</x:v>
      </x:c>
      <x:c r="C4" s="55" t="str">
        <x:v>Governance, accountability and DPDP ownership</x:v>
      </x:c>
      <x:c r="D4" s="55" t="str">
        <x:v>Is there a DPDP steering committee covering legal, IT, security, HR, business/process owners and procurement?</x:v>
      </x:c>
      <x:c r="E4" s="55" t="str">
        <x:v>Applicable</x:v>
      </x:c>
      <x:c r="F4" s="55" t="n">
        <x:v>2</x:v>
      </x:c>
      <x:c r="G4" s="55" t="n">
        <x:v>2</x:v>
      </x:c>
      <x:c r="H4" s="55" t="str">
        <x:v>Partial</x:v>
      </x:c>
      <x:c r="I4" s="55" t="str">
        <x:v>Yes</x:v>
      </x:c>
      <x:c r="J4" s="55" t="n">
        <x:f>IF($E4="Not Applicable","",IF($I4="No",MIN($F4,$G4,3),MIN($F4,$G4)))</x:f>
        <x:v>2</x:v>
      </x:c>
      <x:c r="K4" s="55" t="str">
        <x:f>IF($E4="Not Applicable","N/A",IF($J4&gt;=5,"No Gap",IF($J4&gt;=4,"Improvement",IF($J4&gt;=3,"Low",IF($J4&gt;=2,"Medium",IF($J4&gt;=1,"High","Critical"))))))</x:f>
        <x:v>Medium</x:v>
      </x:c>
      <x:c r="L4" s="55" t="str">
        <x:f>IF($K4="Critical","P0",IF($K4="High","P1",IF($K4="Medium","P2",IF($K4="Low","P3",IF($K4="Improvement","P3","Monitor")))))</x:f>
        <x:v>P2</x:v>
      </x:c>
      <x:c r="M4" s="55" t="str">
        <x:v>Executive Sponsor / DPDP Owner</x:v>
      </x:c>
      <x:c r="N4" s="66" t="n">
        <x:f>IF($E4="Not Applicable","",$G4/5)</x:f>
        <x:v>0.4</x:v>
      </x:c>
      <x:c r="O4" s="55" t="str">
        <x:v>Create steering committee and monthly review cadence.</x:v>
      </x:c>
      <x:c r="P4" s="55" t="str">
        <x:v>Governance Repository</x:v>
      </x:c>
      <x:c r="Q4" s="55" t="str">
        <x:v>Committee charter and meeting minutes</x:v>
      </x:c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G1.4</x:v>
      </x:c>
      <x:c r="B5" s="55" t="str">
        <x:v>D01</x:v>
      </x:c>
      <x:c r="C5" s="55" t="str">
        <x:v>Governance, accountability and DPDP ownership</x:v>
      </x:c>
      <x:c r="D5" s="55" t="str">
        <x:v>Are department/process owners accountable for personal data collected and used in their processes?</x:v>
      </x:c>
      <x:c r="E5" s="55" t="str">
        <x:v>Applicable</x:v>
      </x:c>
      <x:c r="F5" s="55" t="n">
        <x:v>2</x:v>
      </x:c>
      <x:c r="G5" s="55" t="n">
        <x:v>2</x:v>
      </x:c>
      <x:c r="H5" s="55" t="str">
        <x:v>Partial</x:v>
      </x:c>
      <x:c r="I5" s="55" t="str">
        <x:v>Yes</x:v>
      </x:c>
      <x:c r="J5" s="55" t="n">
        <x:f>IF($E5="Not Applicable","",IF($I5="No",MIN($F5,$G5,3),MIN($F5,$G5)))</x:f>
        <x:v>2</x:v>
      </x:c>
      <x:c r="K5" s="55" t="str">
        <x:f>IF($E5="Not Applicable","N/A",IF($J5&gt;=5,"No Gap",IF($J5&gt;=4,"Improvement",IF($J5&gt;=3,"Low",IF($J5&gt;=2,"Medium",IF($J5&gt;=1,"High","Critical"))))))</x:f>
        <x:v>Medium</x:v>
      </x:c>
      <x:c r="L5" s="55" t="str">
        <x:f>IF($K5="Critical","P0",IF($K5="High","P1",IF($K5="Medium","P2",IF($K5="Low","P3",IF($K5="Improvement","P3","Monitor")))))</x:f>
        <x:v>P2</x:v>
      </x:c>
      <x:c r="M5" s="55" t="str">
        <x:v>Executive Sponsor / DPDP Owner</x:v>
      </x:c>
      <x:c r="N5" s="66" t="n">
        <x:f>IF($E5="Not Applicable","",$G5/5)</x:f>
        <x:v>0.4</x:v>
      </x:c>
      <x:c r="O5" s="55" t="str">
        <x:v>Define RACI across all personal-data processes.</x:v>
      </x:c>
      <x:c r="P5" s="55" t="str">
        <x:v>Governance Repository</x:v>
      </x:c>
      <x:c r="Q5" s="55" t="str">
        <x:v>RACI matrix</x:v>
      </x:c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G1.5</x:v>
      </x:c>
      <x:c r="B6" s="55" t="str">
        <x:v>D01</x:v>
      </x:c>
      <x:c r="C6" s="55" t="str">
        <x:v>Governance, accountability and DPDP ownership</x:v>
      </x:c>
      <x:c r="D6" s="55" t="str">
        <x:v>Is DPDP compliance included in management reporting or enterprise risk governance?</x:v>
      </x:c>
      <x:c r="E6" s="55" t="str">
        <x:v>Applicable</x:v>
      </x:c>
      <x:c r="F6" s="55" t="n">
        <x:v>2</x:v>
      </x:c>
      <x:c r="G6" s="55" t="n">
        <x:v>2</x:v>
      </x:c>
      <x:c r="H6" s="55" t="str">
        <x:v>Partial</x:v>
      </x:c>
      <x:c r="I6" s="55" t="str">
        <x:v>Yes</x:v>
      </x:c>
      <x:c r="J6" s="55" t="n">
        <x:f>IF($E6="Not Applicable","",IF($I6="No",MIN($F6,$G6,3),MIN($F6,$G6)))</x:f>
        <x:v>2</x:v>
      </x:c>
      <x:c r="K6" s="55" t="str">
        <x:f>IF($E6="Not Applicable","N/A",IF($J6&gt;=5,"No Gap",IF($J6&gt;=4,"Improvement",IF($J6&gt;=3,"Low",IF($J6&gt;=2,"Medium",IF($J6&gt;=1,"High","Critical"))))))</x:f>
        <x:v>Medium</x:v>
      </x:c>
      <x:c r="L6" s="55" t="str">
        <x:f>IF($K6="Critical","P0",IF($K6="High","P1",IF($K6="Medium","P2",IF($K6="Low","P3",IF($K6="Improvement","P3","Monitor")))))</x:f>
        <x:v>P2</x:v>
      </x:c>
      <x:c r="M6" s="55" t="str">
        <x:v>Executive Sponsor / DPDP Owner</x:v>
      </x:c>
      <x:c r="N6" s="66" t="n">
        <x:f>IF($E6="Not Applicable","",$G6/5)</x:f>
        <x:v>0.4</x:v>
      </x:c>
      <x:c r="O6" s="55" t="str">
        <x:v>Add DPDP score, red flags and overdue actions to leadership review.</x:v>
      </x:c>
      <x:c r="P6" s="55" t="str">
        <x:v>Governance Repository</x:v>
      </x:c>
      <x:c r="Q6" s="55" t="str">
        <x:v>Dashboard / risk review minutes</x:v>
      </x:c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G1.6</x:v>
      </x:c>
      <x:c r="B7" s="55" t="str">
        <x:v>D01</x:v>
      </x:c>
      <x:c r="C7" s="55" t="str">
        <x:v>Governance, accountability and DPDP ownership</x:v>
      </x:c>
      <x:c r="D7" s="55" t="str">
        <x:v>Are responsibilities defined for branches, affiliated colleges, subsidiaries or distributed units?</x:v>
      </x:c>
      <x:c r="E7" s="55" t="str">
        <x:v>Applicable</x:v>
      </x:c>
      <x:c r="F7" s="55" t="n">
        <x:v>2</x:v>
      </x:c>
      <x:c r="G7" s="55" t="n">
        <x:v>2</x:v>
      </x:c>
      <x:c r="H7" s="55" t="str">
        <x:v>Partial</x:v>
      </x:c>
      <x:c r="I7" s="55" t="str">
        <x:v>Yes</x:v>
      </x:c>
      <x:c r="J7" s="55" t="n">
        <x:f>IF($E7="Not Applicable","",IF($I7="No",MIN($F7,$G7,3),MIN($F7,$G7)))</x:f>
        <x:v>2</x:v>
      </x:c>
      <x:c r="K7" s="55" t="str">
        <x:f>IF($E7="Not Applicable","N/A",IF($J7&gt;=5,"No Gap",IF($J7&gt;=4,"Improvement",IF($J7&gt;=3,"Low",IF($J7&gt;=2,"Medium",IF($J7&gt;=1,"High","Critical"))))))</x:f>
        <x:v>Medium</x:v>
      </x:c>
      <x:c r="L7" s="55" t="str">
        <x:f>IF($K7="Critical","P0",IF($K7="High","P1",IF($K7="Medium","P2",IF($K7="Low","P3",IF($K7="Improvement","P3","Monitor")))))</x:f>
        <x:v>P2</x:v>
      </x:c>
      <x:c r="M7" s="55" t="str">
        <x:v>Executive Sponsor / DPDP Owner</x:v>
      </x:c>
      <x:c r="N7" s="66" t="n">
        <x:f>IF($E7="Not Applicable","",$G7/5)</x:f>
        <x:v>0.4</x:v>
      </x:c>
      <x:c r="O7" s="55" t="str">
        <x:v>Create distributed-unit responsibility model and coordinator network.</x:v>
      </x:c>
      <x:c r="P7" s="55" t="str">
        <x:v>Governance Repository</x:v>
      </x:c>
      <x:c r="Q7" s="55" t="str">
        <x:v>Responsibility matrix / operating note</x:v>
      </x:c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G1.7</x:v>
      </x:c>
      <x:c r="B8" s="55" t="str">
        <x:v>D01</x:v>
      </x:c>
      <x:c r="C8" s="55" t="str">
        <x:v>Governance, accountability and DPDP ownership</x:v>
      </x:c>
      <x:c r="D8" s="55" t="str">
        <x:v>Is there a budget/resource plan for DPDP remediation and operating controls?</x:v>
      </x:c>
      <x:c r="E8" s="55" t="str">
        <x:v>Applicable</x:v>
      </x:c>
      <x:c r="F8" s="55" t="n">
        <x:v>2</x:v>
      </x:c>
      <x:c r="G8" s="55" t="n">
        <x:v>2</x:v>
      </x:c>
      <x:c r="H8" s="55" t="str">
        <x:v>Partial</x:v>
      </x:c>
      <x:c r="I8" s="55" t="str">
        <x:v>Yes</x:v>
      </x:c>
      <x:c r="J8" s="55" t="n">
        <x:f>IF($E8="Not Applicable","",IF($I8="No",MIN($F8,$G8,3),MIN($F8,$G8)))</x:f>
        <x:v>2</x:v>
      </x:c>
      <x:c r="K8" s="55" t="str">
        <x:f>IF($E8="Not Applicable","N/A",IF($J8&gt;=5,"No Gap",IF($J8&gt;=4,"Improvement",IF($J8&gt;=3,"Low",IF($J8&gt;=2,"Medium",IF($J8&gt;=1,"High","Critical"))))))</x:f>
        <x:v>Medium</x:v>
      </x:c>
      <x:c r="L8" s="55" t="str">
        <x:f>IF($K8="Critical","P0",IF($K8="High","P1",IF($K8="Medium","P2",IF($K8="Low","P3",IF($K8="Improvement","P3","Monitor")))))</x:f>
        <x:v>P2</x:v>
      </x:c>
      <x:c r="M8" s="55" t="str">
        <x:v>Executive Sponsor / DPDP Owner</x:v>
      </x:c>
      <x:c r="N8" s="66" t="n">
        <x:f>IF($E8="Not Applicable","",$G8/5)</x:f>
        <x:v>0.4</x:v>
      </x:c>
      <x:c r="O8" s="55" t="str">
        <x:v>Approve budget for assessment, remediation, technology and training.</x:v>
      </x:c>
      <x:c r="P8" s="55" t="str">
        <x:v>Governance Repository</x:v>
      </x:c>
      <x:c r="Q8" s="55" t="str">
        <x:v>Budget note / project plan / resource allocation</x:v>
      </x:c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 t="str">
        <x:v>DI1.1</x:v>
      </x:c>
      <x:c r="B9" s="55" t="str">
        <x:v>D02</x:v>
      </x:c>
      <x:c r="C9" s="55" t="str">
        <x:v>Personal data discovery and inventory</x:v>
      </x:c>
      <x:c r="D9" s="55" t="str">
        <x:v>Has the organisation identified all personal data it collects, stores, uses, shares and deletes?</x:v>
      </x:c>
      <x:c r="E9" s="55" t="str">
        <x:v>Applicable</x:v>
      </x:c>
      <x:c r="F9" s="55" t="n">
        <x:v>0</x:v>
      </x:c>
      <x:c r="G9" s="55" t="n">
        <x:v>0</x:v>
      </x:c>
      <x:c r="H9" s="55" t="str">
        <x:v>Not Provided</x:v>
      </x:c>
      <x:c r="I9" s="55" t="str">
        <x:v>Yes</x:v>
      </x:c>
      <x:c r="J9" s="55" t="n">
        <x:f>IF($E9="Not Applicable","",IF($I9="No",MIN($F9,$G9,3),MIN($F9,$G9)))</x:f>
        <x:v>0</x:v>
      </x:c>
      <x:c r="K9" s="55" t="str">
        <x:f>IF($E9="Not Applicable","N/A",IF($J9&gt;=5,"No Gap",IF($J9&gt;=4,"Improvement",IF($J9&gt;=3,"Low",IF($J9&gt;=2,"Medium",IF($J9&gt;=1,"High","Critical"))))))</x:f>
        <x:v>Critical</x:v>
      </x:c>
      <x:c r="L9" s="55" t="str">
        <x:f>IF($K9="Critical","P0",IF($K9="High","P1",IF($K9="Medium","P2",IF($K9="Low","P3",IF($K9="Improvement","P3","Monitor")))))</x:f>
        <x:v>P0</x:v>
      </x:c>
      <x:c r="M9" s="55" t="str">
        <x:v>IT + Process Owners</x:v>
      </x:c>
      <x:c r="N9" s="66" t="n">
        <x:f>IF($E9="Not Applicable","",$G9/5)</x:f>
        <x:v>0</x:v>
      </x:c>
      <x:c r="O9" s="55" t="str">
        <x:v>Launch enterprise-wide personal data inventory exercise.</x:v>
      </x:c>
      <x:c r="P9" s="55" t="str">
        <x:v>Data Inventory Register</x:v>
      </x:c>
      <x:c r="Q9" s="55" t="str">
        <x:v>Personal data inventory</x:v>
      </x:c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 t="str">
        <x:v>DI1.2</x:v>
      </x:c>
      <x:c r="B10" s="55" t="str">
        <x:v>D02</x:v>
      </x:c>
      <x:c r="C10" s="55" t="str">
        <x:v>Personal data discovery and inventory</x:v>
      </x:c>
      <x:c r="D10" s="55" t="str">
        <x:v>Are personal data categories mapped by Data Principal type such as student, applicant, employee, vendor, customer, parent and alumni?</x:v>
      </x:c>
      <x:c r="E10" s="55" t="str">
        <x:v>Applicable</x:v>
      </x:c>
      <x:c r="F10" s="55" t="n">
        <x:v>1</x:v>
      </x:c>
      <x:c r="G10" s="55" t="n">
        <x:v>1</x:v>
      </x:c>
      <x:c r="H10" s="55" t="str">
        <x:v>Requested</x:v>
      </x:c>
      <x:c r="I10" s="55" t="str">
        <x:v>Yes</x:v>
      </x:c>
      <x:c r="J10" s="55" t="n">
        <x:f>IF($E10="Not Applicable","",IF($I10="No",MIN($F10,$G10,3),MIN($F10,$G10)))</x:f>
        <x:v>1</x:v>
      </x:c>
      <x:c r="K10" s="55" t="str">
        <x:f>IF($E10="Not Applicable","N/A",IF($J10&gt;=5,"No Gap",IF($J10&gt;=4,"Improvement",IF($J10&gt;=3,"Low",IF($J10&gt;=2,"Medium",IF($J10&gt;=1,"High","Critical"))))))</x:f>
        <x:v>High</x:v>
      </x:c>
      <x:c r="L10" s="55" t="str">
        <x:f>IF($K10="Critical","P0",IF($K10="High","P1",IF($K10="Medium","P2",IF($K10="Low","P3",IF($K10="Improvement","P3","Monitor")))))</x:f>
        <x:v>P1</x:v>
      </x:c>
      <x:c r="M10" s="55" t="str">
        <x:v>IT + Process Owners</x:v>
      </x:c>
      <x:c r="N10" s="66" t="n">
        <x:f>IF($E10="Not Applicable","",$G10/5)</x:f>
        <x:v>0.2</x:v>
      </x:c>
      <x:c r="O10" s="55" t="str">
        <x:v>Map data categories by Data Principal segment.</x:v>
      </x:c>
      <x:c r="P10" s="55" t="str">
        <x:v>Data Inventory Register</x:v>
      </x:c>
      <x:c r="Q10" s="55" t="str">
        <x:v>Data category register</x:v>
      </x:c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DI1.3</x:v>
      </x:c>
      <x:c r="B11" s="55" t="str">
        <x:v>D02</x:v>
      </x:c>
      <x:c r="C11" s="55" t="str">
        <x:v>Personal data discovery and inventory</x:v>
      </x:c>
      <x:c r="D11" s="55" t="str">
        <x:v>Are all collection points mapped, including website forms, apps, ERP, CRM, LMS, HRMS, emails, spreadsheets and APIs?</x:v>
      </x:c>
      <x:c r="E11" s="55" t="str">
        <x:v>Applicable</x:v>
      </x:c>
      <x:c r="F11" s="55" t="n">
        <x:v>1</x:v>
      </x:c>
      <x:c r="G11" s="55" t="n">
        <x:v>1</x:v>
      </x:c>
      <x:c r="H11" s="55" t="str">
        <x:v>Requested</x:v>
      </x:c>
      <x:c r="I11" s="55" t="str">
        <x:v>Yes</x:v>
      </x:c>
      <x:c r="J11" s="55" t="n">
        <x:f>IF($E11="Not Applicable","",IF($I11="No",MIN($F11,$G11,3),MIN($F11,$G11)))</x:f>
        <x:v>1</x:v>
      </x:c>
      <x:c r="K11" s="55" t="str">
        <x:f>IF($E11="Not Applicable","N/A",IF($J11&gt;=5,"No Gap",IF($J11&gt;=4,"Improvement",IF($J11&gt;=3,"Low",IF($J11&gt;=2,"Medium",IF($J11&gt;=1,"High","Critical"))))))</x:f>
        <x:v>High</x:v>
      </x:c>
      <x:c r="L11" s="55" t="str">
        <x:f>IF($K11="Critical","P0",IF($K11="High","P1",IF($K11="Medium","P2",IF($K11="Low","P3",IF($K11="Improvement","P3","Monitor")))))</x:f>
        <x:v>P1</x:v>
      </x:c>
      <x:c r="M11" s="55" t="str">
        <x:v>IT + Process Owners</x:v>
      </x:c>
      <x:c r="N11" s="66" t="n">
        <x:f>IF($E11="Not Applicable","",$G11/5)</x:f>
        <x:v>0.2</x:v>
      </x:c>
      <x:c r="O11" s="55" t="str">
        <x:v>Create inventory of digital and digitised collection points.</x:v>
      </x:c>
      <x:c r="P11" s="55" t="str">
        <x:v>Data Inventory Register</x:v>
      </x:c>
      <x:c r="Q11" s="55" t="str">
        <x:v>Collection-point inventory</x:v>
      </x:c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str">
        <x:v>DI1.4</x:v>
      </x:c>
      <x:c r="B12" s="55" t="str">
        <x:v>D02</x:v>
      </x:c>
      <x:c r="C12" s="55" t="str">
        <x:v>Personal data discovery and inventory</x:v>
      </x:c>
      <x:c r="D12" s="55" t="str">
        <x:v>Are systems storing personal data documented with owner, location, access roles and vendor details?</x:v>
      </x:c>
      <x:c r="E12" s="55" t="str">
        <x:v>Applicable</x:v>
      </x:c>
      <x:c r="F12" s="55" t="n">
        <x:v>1</x:v>
      </x:c>
      <x:c r="G12" s="55" t="n">
        <x:v>1</x:v>
      </x:c>
      <x:c r="H12" s="55" t="str">
        <x:v>Requested</x:v>
      </x:c>
      <x:c r="I12" s="55" t="str">
        <x:v>Yes</x:v>
      </x:c>
      <x:c r="J12" s="55" t="n">
        <x:f>IF($E12="Not Applicable","",IF($I12="No",MIN($F12,$G12,3),MIN($F12,$G12)))</x:f>
        <x:v>1</x:v>
      </x:c>
      <x:c r="K12" s="55" t="str">
        <x:f>IF($E12="Not Applicable","N/A",IF($J12&gt;=5,"No Gap",IF($J12&gt;=4,"Improvement",IF($J12&gt;=3,"Low",IF($J12&gt;=2,"Medium",IF($J12&gt;=1,"High","Critical"))))))</x:f>
        <x:v>High</x:v>
      </x:c>
      <x:c r="L12" s="55" t="str">
        <x:f>IF($K12="Critical","P0",IF($K12="High","P1",IF($K12="Medium","P2",IF($K12="Low","P3",IF($K12="Improvement","P3","Monitor")))))</x:f>
        <x:v>P1</x:v>
      </x:c>
      <x:c r="M12" s="55" t="str">
        <x:v>IT + Process Owners</x:v>
      </x:c>
      <x:c r="N12" s="66" t="n">
        <x:f>IF($E12="Not Applicable","",$G12/5)</x:f>
        <x:v>0.2</x:v>
      </x:c>
      <x:c r="O12" s="55" t="str">
        <x:v>Build system register with ownership and location details.</x:v>
      </x:c>
      <x:c r="P12" s="55" t="str">
        <x:v>Data Inventory Register</x:v>
      </x:c>
      <x:c r="Q12" s="55" t="str">
        <x:v>System inventory</x:v>
      </x:c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DI1.5</x:v>
      </x:c>
      <x:c r="B13" s="55" t="str">
        <x:v>D02</x:v>
      </x:c>
      <x:c r="C13" s="55" t="str">
        <x:v>Personal data discovery and inventory</x:v>
      </x:c>
      <x:c r="D13" s="55" t="str">
        <x:v>Are personal data flows mapped across departments, vendors, cloud platforms, affiliated entities and external agencies?</x:v>
      </x:c>
      <x:c r="E13" s="55" t="str">
        <x:v>Applicable</x:v>
      </x:c>
      <x:c r="F13" s="55" t="n">
        <x:v>1</x:v>
      </x:c>
      <x:c r="G13" s="55" t="n">
        <x:v>1</x:v>
      </x:c>
      <x:c r="H13" s="55" t="str">
        <x:v>Requested</x:v>
      </x:c>
      <x:c r="I13" s="55" t="str">
        <x:v>Yes</x:v>
      </x:c>
      <x:c r="J13" s="55" t="n">
        <x:f>IF($E13="Not Applicable","",IF($I13="No",MIN($F13,$G13,3),MIN($F13,$G13)))</x:f>
        <x:v>1</x:v>
      </x:c>
      <x:c r="K13" s="55" t="str">
        <x:f>IF($E13="Not Applicable","N/A",IF($J13&gt;=5,"No Gap",IF($J13&gt;=4,"Improvement",IF($J13&gt;=3,"Low",IF($J13&gt;=2,"Medium",IF($J13&gt;=1,"High","Critical"))))))</x:f>
        <x:v>High</x:v>
      </x:c>
      <x:c r="L13" s="55" t="str">
        <x:f>IF($K13="Critical","P0",IF($K13="High","P1",IF($K13="Medium","P2",IF($K13="Low","P3",IF($K13="Improvement","P3","Monitor")))))</x:f>
        <x:v>P1</x:v>
      </x:c>
      <x:c r="M13" s="55" t="str">
        <x:v>IT + Process Owners</x:v>
      </x:c>
      <x:c r="N13" s="66" t="n">
        <x:f>IF($E13="Not Applicable","",$G13/5)</x:f>
        <x:v>0.2</x:v>
      </x:c>
      <x:c r="O13" s="55" t="str">
        <x:v>Map internal, external and vendor data flows.</x:v>
      </x:c>
      <x:c r="P13" s="55" t="str">
        <x:v>Data Inventory Register</x:v>
      </x:c>
      <x:c r="Q13" s="55" t="str">
        <x:v>Data-flow map</x:v>
      </x:c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str">
        <x:v>DI1.6</x:v>
      </x:c>
      <x:c r="B14" s="55" t="str">
        <x:v>D02</x:v>
      </x:c>
      <x:c r="C14" s="55" t="str">
        <x:v>Personal data discovery and inventory</x:v>
      </x:c>
      <x:c r="D14" s="55" t="str">
        <x:v>Is there a process to update inventory when new forms, systems, vendors, AI tools or workflows are introduced?</x:v>
      </x:c>
      <x:c r="E14" s="55" t="str">
        <x:v>Applicable</x:v>
      </x:c>
      <x:c r="F14" s="55" t="n">
        <x:v>1</x:v>
      </x:c>
      <x:c r="G14" s="55" t="n">
        <x:v>1</x:v>
      </x:c>
      <x:c r="H14" s="55" t="str">
        <x:v>Requested</x:v>
      </x:c>
      <x:c r="I14" s="55" t="str">
        <x:v>Yes</x:v>
      </x:c>
      <x:c r="J14" s="55" t="n">
        <x:f>IF($E14="Not Applicable","",IF($I14="No",MIN($F14,$G14,3),MIN($F14,$G14)))</x:f>
        <x:v>1</x:v>
      </x:c>
      <x:c r="K14" s="55" t="str">
        <x:f>IF($E14="Not Applicable","N/A",IF($J14&gt;=5,"No Gap",IF($J14&gt;=4,"Improvement",IF($J14&gt;=3,"Low",IF($J14&gt;=2,"Medium",IF($J14&gt;=1,"High","Critical"))))))</x:f>
        <x:v>High</x:v>
      </x:c>
      <x:c r="L14" s="55" t="str">
        <x:f>IF($K14="Critical","P0",IF($K14="High","P1",IF($K14="Medium","P2",IF($K14="Low","P3",IF($K14="Improvement","P3","Monitor")))))</x:f>
        <x:v>P1</x:v>
      </x:c>
      <x:c r="M14" s="55" t="str">
        <x:v>IT + Process Owners</x:v>
      </x:c>
      <x:c r="N14" s="66" t="n">
        <x:f>IF($E14="Not Applicable","",$G14/5)</x:f>
        <x:v>0.2</x:v>
      </x:c>
      <x:c r="O14" s="55" t="str">
        <x:v>Add DPDP review to change-management lifecycle.</x:v>
      </x:c>
      <x:c r="P14" s="55" t="str">
        <x:v>Data Inventory Register</x:v>
      </x:c>
      <x:c r="Q14" s="55" t="str">
        <x:v>Change/update SOP</x:v>
      </x:c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5" t="str">
        <x:v>DI1.7</x:v>
      </x:c>
      <x:c r="B15" s="55" t="str">
        <x:v>D02</x:v>
      </x:c>
      <x:c r="C15" s="55" t="str">
        <x:v>Personal data discovery and inventory</x:v>
      </x:c>
      <x:c r="D15" s="55" t="str">
        <x:v>Are offline forms that are later digitised included in the data inventory?</x:v>
      </x:c>
      <x:c r="E15" s="55" t="str">
        <x:v>Applicable</x:v>
      </x:c>
      <x:c r="F15" s="55" t="n">
        <x:v>1</x:v>
      </x:c>
      <x:c r="G15" s="55" t="n">
        <x:v>1</x:v>
      </x:c>
      <x:c r="H15" s="55" t="str">
        <x:v>Requested</x:v>
      </x:c>
      <x:c r="I15" s="55" t="str">
        <x:v>Yes</x:v>
      </x:c>
      <x:c r="J15" s="55" t="n">
        <x:f>IF($E15="Not Applicable","",IF($I15="No",MIN($F15,$G15,3),MIN($F15,$G15)))</x:f>
        <x:v>1</x:v>
      </x:c>
      <x:c r="K15" s="55" t="str">
        <x:f>IF($E15="Not Applicable","N/A",IF($J15&gt;=5,"No Gap",IF($J15&gt;=4,"Improvement",IF($J15&gt;=3,"Low",IF($J15&gt;=2,"Medium",IF($J15&gt;=1,"High","Critical"))))))</x:f>
        <x:v>High</x:v>
      </x:c>
      <x:c r="L15" s="55" t="str">
        <x:f>IF($K15="Critical","P0",IF($K15="High","P1",IF($K15="Medium","P2",IF($K15="Low","P3",IF($K15="Improvement","P3","Monitor")))))</x:f>
        <x:v>P1</x:v>
      </x:c>
      <x:c r="M15" s="55" t="str">
        <x:v>IT + Process Owners</x:v>
      </x:c>
      <x:c r="N15" s="66" t="n">
        <x:f>IF($E15="Not Applicable","",$G15/5)</x:f>
        <x:v>0.2</x:v>
      </x:c>
      <x:c r="O15" s="55" t="str">
        <x:v>Include offline collection that is digitised into systems or spreadsheets.</x:v>
      </x:c>
      <x:c r="P15" s="55" t="str">
        <x:v>Data Inventory Register</x:v>
      </x:c>
      <x:c r="Q15" s="55" t="str">
        <x:v>Offline-to-digital inventory evidence</x:v>
      </x:c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 t="str">
        <x:v>ROPA1.1</x:v>
      </x:c>
      <x:c r="B16" s="55" t="str">
        <x:v>D03</x:v>
      </x:c>
      <x:c r="C16" s="55" t="str">
        <x:v>ROPA / Records of Processing Activities</x:v>
      </x:c>
      <x:c r="D16" s="55" t="str">
        <x:v>Has the organisation created a processing activity register for major personal-data processes?</x:v>
      </x:c>
      <x:c r="E16" s="55" t="str">
        <x:v>Applicable</x:v>
      </x:c>
      <x:c r="F16" s="55" t="n">
        <x:v>0</x:v>
      </x:c>
      <x:c r="G16" s="55" t="n">
        <x:v>0</x:v>
      </x:c>
      <x:c r="H16" s="55" t="str">
        <x:v>Not Provided</x:v>
      </x:c>
      <x:c r="I16" s="55" t="str">
        <x:v>Yes</x:v>
      </x:c>
      <x:c r="J16" s="55" t="n">
        <x:f>IF($E16="Not Applicable","",IF($I16="No",MIN($F16,$G16,3),MIN($F16,$G16)))</x:f>
        <x:v>0</x:v>
      </x:c>
      <x:c r="K16" s="55" t="str">
        <x:f>IF($E16="Not Applicable","N/A",IF($J16&gt;=5,"No Gap",IF($J16&gt;=4,"Improvement",IF($J16&gt;=3,"Low",IF($J16&gt;=2,"Medium",IF($J16&gt;=1,"High","Critical"))))))</x:f>
        <x:v>Critical</x:v>
      </x:c>
      <x:c r="L16" s="55" t="str">
        <x:f>IF($K16="Critical","P0",IF($K16="High","P1",IF($K16="Medium","P2",IF($K16="Low","P3",IF($K16="Improvement","P3","Monitor")))))</x:f>
        <x:v>P0</x:v>
      </x:c>
      <x:c r="M16" s="55" t="str">
        <x:v>DPDP Owner + Process Owners</x:v>
      </x:c>
      <x:c r="N16" s="66" t="n">
        <x:f>IF($E16="Not Applicable","",$G16/5)</x:f>
        <x:v>0</x:v>
      </x:c>
      <x:c r="O16" s="55" t="str">
        <x:v>Create ROPA register covering all major processes.</x:v>
      </x:c>
      <x:c r="P16" s="55" t="str">
        <x:v>ROPA / Processing Activity Register</x:v>
      </x:c>
      <x:c r="Q16" s="55" t="str">
        <x:v>ROPA register</x:v>
      </x:c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5" t="str">
        <x:v>ROPA1.2</x:v>
      </x:c>
      <x:c r="B17" s="55" t="str">
        <x:v>D03</x:v>
      </x:c>
      <x:c r="C17" s="55" t="str">
        <x:v>ROPA / Records of Processing Activities</x:v>
      </x:c>
      <x:c r="D17" s="55" t="str">
        <x:v>Does each processing record identify the process owner and department?</x:v>
      </x:c>
      <x:c r="E17" s="55" t="str">
        <x:v>Applicable</x:v>
      </x:c>
      <x:c r="F17" s="55" t="n">
        <x:v>1</x:v>
      </x:c>
      <x:c r="G17" s="55" t="n">
        <x:v>1</x:v>
      </x:c>
      <x:c r="H17" s="55" t="str">
        <x:v>Requested</x:v>
      </x:c>
      <x:c r="I17" s="55" t="str">
        <x:v>Yes</x:v>
      </x:c>
      <x:c r="J17" s="55" t="n">
        <x:f>IF($E17="Not Applicable","",IF($I17="No",MIN($F17,$G17,3),MIN($F17,$G17)))</x:f>
        <x:v>1</x:v>
      </x:c>
      <x:c r="K17" s="55" t="str">
        <x:f>IF($E17="Not Applicable","N/A",IF($J17&gt;=5,"No Gap",IF($J17&gt;=4,"Improvement",IF($J17&gt;=3,"Low",IF($J17&gt;=2,"Medium",IF($J17&gt;=1,"High","Critical"))))))</x:f>
        <x:v>High</x:v>
      </x:c>
      <x:c r="L17" s="55" t="str">
        <x:f>IF($K17="Critical","P0",IF($K17="High","P1",IF($K17="Medium","P2",IF($K17="Low","P3",IF($K17="Improvement","P3","Monitor")))))</x:f>
        <x:v>P1</x:v>
      </x:c>
      <x:c r="M17" s="55" t="str">
        <x:v>DPDP Owner + Process Owners</x:v>
      </x:c>
      <x:c r="N17" s="66" t="n">
        <x:f>IF($E17="Not Applicable","",$G17/5)</x:f>
        <x:v>0.2</x:v>
      </x:c>
      <x:c r="O17" s="55" t="str">
        <x:v>Add department and accountable owner to every processing record.</x:v>
      </x:c>
      <x:c r="P17" s="55" t="str">
        <x:v>ROPA / Processing Activity Register</x:v>
      </x:c>
      <x:c r="Q17" s="55" t="str">
        <x:v>Owner mapping within ROPA</x:v>
      </x:c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5" t="str">
        <x:v>ROPA1.3</x:v>
      </x:c>
      <x:c r="B18" s="55" t="str">
        <x:v>D03</x:v>
      </x:c>
      <x:c r="C18" s="55" t="str">
        <x:v>ROPA / Records of Processing Activities</x:v>
      </x:c>
      <x:c r="D18" s="55" t="str">
        <x:v>Does each record identify Data Principal type and personal data categories?</x:v>
      </x:c>
      <x:c r="E18" s="55" t="str">
        <x:v>Applicable</x:v>
      </x:c>
      <x:c r="F18" s="55" t="n">
        <x:v>1</x:v>
      </x:c>
      <x:c r="G18" s="55" t="n">
        <x:v>1</x:v>
      </x:c>
      <x:c r="H18" s="55" t="str">
        <x:v>Requested</x:v>
      </x:c>
      <x:c r="I18" s="55" t="str">
        <x:v>Yes</x:v>
      </x:c>
      <x:c r="J18" s="55" t="n">
        <x:f>IF($E18="Not Applicable","",IF($I18="No",MIN($F18,$G18,3),MIN($F18,$G18)))</x:f>
        <x:v>1</x:v>
      </x:c>
      <x:c r="K18" s="55" t="str">
        <x:f>IF($E18="Not Applicable","N/A",IF($J18&gt;=5,"No Gap",IF($J18&gt;=4,"Improvement",IF($J18&gt;=3,"Low",IF($J18&gt;=2,"Medium",IF($J18&gt;=1,"High","Critical"))))))</x:f>
        <x:v>High</x:v>
      </x:c>
      <x:c r="L18" s="55" t="str">
        <x:f>IF($K18="Critical","P0",IF($K18="High","P1",IF($K18="Medium","P2",IF($K18="Low","P3",IF($K18="Improvement","P3","Monitor")))))</x:f>
        <x:v>P1</x:v>
      </x:c>
      <x:c r="M18" s="55" t="str">
        <x:v>DPDP Owner + Process Owners</x:v>
      </x:c>
      <x:c r="N18" s="66" t="n">
        <x:f>IF($E18="Not Applicable","",$G18/5)</x:f>
        <x:v>0.2</x:v>
      </x:c>
      <x:c r="O18" s="55" t="str">
        <x:v>Add Data Principal segment and personal data categories to ROPA.</x:v>
      </x:c>
      <x:c r="P18" s="55" t="str">
        <x:v>ROPA / Processing Activity Register</x:v>
      </x:c>
      <x:c r="Q18" s="55" t="str">
        <x:v>Data Principal/data category mapping</x:v>
      </x:c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5" t="str">
        <x:v>ROPA1.4</x:v>
      </x:c>
      <x:c r="B19" s="55" t="str">
        <x:v>D03</x:v>
      </x:c>
      <x:c r="C19" s="55" t="str">
        <x:v>ROPA / Records of Processing Activities</x:v>
      </x:c>
      <x:c r="D19" s="55" t="str">
        <x:v>Does each record document purpose and DPDP basis / lawful processing basis?</x:v>
      </x:c>
      <x:c r="E19" s="55" t="str">
        <x:v>Applicable</x:v>
      </x:c>
      <x:c r="F19" s="55" t="n">
        <x:v>1</x:v>
      </x:c>
      <x:c r="G19" s="55" t="n">
        <x:v>1</x:v>
      </x:c>
      <x:c r="H19" s="55" t="str">
        <x:v>Requested</x:v>
      </x:c>
      <x:c r="I19" s="55" t="str">
        <x:v>Yes</x:v>
      </x:c>
      <x:c r="J19" s="55" t="n">
        <x:f>IF($E19="Not Applicable","",IF($I19="No",MIN($F19,$G19,3),MIN($F19,$G19)))</x:f>
        <x:v>1</x:v>
      </x:c>
      <x:c r="K19" s="55" t="str">
        <x:f>IF($E19="Not Applicable","N/A",IF($J19&gt;=5,"No Gap",IF($J19&gt;=4,"Improvement",IF($J19&gt;=3,"Low",IF($J19&gt;=2,"Medium",IF($J19&gt;=1,"High","Critical"))))))</x:f>
        <x:v>High</x:v>
      </x:c>
      <x:c r="L19" s="55" t="str">
        <x:f>IF($K19="Critical","P0",IF($K19="High","P1",IF($K19="Medium","P2",IF($K19="Low","P3",IF($K19="Improvement","P3","Monitor")))))</x:f>
        <x:v>P1</x:v>
      </x:c>
      <x:c r="M19" s="55" t="str">
        <x:v>DPDP Owner + Process Owners</x:v>
      </x:c>
      <x:c r="N19" s="66" t="n">
        <x:f>IF($E19="Not Applicable","",$G19/5)</x:f>
        <x:v>0.2</x:v>
      </x:c>
      <x:c r="O19" s="55" t="str">
        <x:v>Map every processing activity to purpose and legal/DPDP basis for legal review.</x:v>
      </x:c>
      <x:c r="P19" s="55" t="str">
        <x:v>ROPA / Processing Activity Register</x:v>
      </x:c>
      <x:c r="Q19" s="55" t="str">
        <x:v>Purpose and basis mapping</x:v>
      </x:c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5" t="str">
        <x:v>ROPA1.5</x:v>
      </x:c>
      <x:c r="B20" s="55" t="str">
        <x:v>D03</x:v>
      </x:c>
      <x:c r="C20" s="55" t="str">
        <x:v>ROPA / Records of Processing Activities</x:v>
      </x:c>
      <x:c r="D20" s="55" t="str">
        <x:v>Does each record identify systems, vendors, processors and sharing points?</x:v>
      </x:c>
      <x:c r="E20" s="55" t="str">
        <x:v>Applicable</x:v>
      </x:c>
      <x:c r="F20" s="55" t="n">
        <x:v>1</x:v>
      </x:c>
      <x:c r="G20" s="55" t="n">
        <x:v>1</x:v>
      </x:c>
      <x:c r="H20" s="55" t="str">
        <x:v>Requested</x:v>
      </x:c>
      <x:c r="I20" s="55" t="str">
        <x:v>Yes</x:v>
      </x:c>
      <x:c r="J20" s="55" t="n">
        <x:f>IF($E20="Not Applicable","",IF($I20="No",MIN($F20,$G20,3),MIN($F20,$G20)))</x:f>
        <x:v>1</x:v>
      </x:c>
      <x:c r="K20" s="55" t="str">
        <x:f>IF($E20="Not Applicable","N/A",IF($J20&gt;=5,"No Gap",IF($J20&gt;=4,"Improvement",IF($J20&gt;=3,"Low",IF($J20&gt;=2,"Medium",IF($J20&gt;=1,"High","Critical"))))))</x:f>
        <x:v>High</x:v>
      </x:c>
      <x:c r="L20" s="55" t="str">
        <x:f>IF($K20="Critical","P0",IF($K20="High","P1",IF($K20="Medium","P2",IF($K20="Low","P3",IF($K20="Improvement","P3","Monitor")))))</x:f>
        <x:v>P1</x:v>
      </x:c>
      <x:c r="M20" s="55" t="str">
        <x:v>DPDP Owner + Process Owners</x:v>
      </x:c>
      <x:c r="N20" s="66" t="n">
        <x:f>IF($E20="Not Applicable","",$G20/5)</x:f>
        <x:v>0.2</x:v>
      </x:c>
      <x:c r="O20" s="55" t="str">
        <x:v>Add systems, processors and sharing destinations to ROPA.</x:v>
      </x:c>
      <x:c r="P20" s="55" t="str">
        <x:v>ROPA / Processing Activity Register</x:v>
      </x:c>
      <x:c r="Q20" s="55" t="str">
        <x:v>System/vendor/data-flow mapping</x:v>
      </x:c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5" t="str">
        <x:v>ROPA1.6</x:v>
      </x:c>
      <x:c r="B21" s="55" t="str">
        <x:v>D03</x:v>
      </x:c>
      <x:c r="C21" s="55" t="str">
        <x:v>ROPA / Records of Processing Activities</x:v>
      </x:c>
      <x:c r="D21" s="55" t="str">
        <x:v>Does each record include retention, safeguards, notice, consent, rights and grievance linkage?</x:v>
      </x:c>
      <x:c r="E21" s="55" t="str">
        <x:v>Applicable</x:v>
      </x:c>
      <x:c r="F21" s="55" t="n">
        <x:v>1</x:v>
      </x:c>
      <x:c r="G21" s="55" t="n">
        <x:v>1</x:v>
      </x:c>
      <x:c r="H21" s="55" t="str">
        <x:v>Requested</x:v>
      </x:c>
      <x:c r="I21" s="55" t="str">
        <x:v>Yes</x:v>
      </x:c>
      <x:c r="J21" s="55" t="n">
        <x:f>IF($E21="Not Applicable","",IF($I21="No",MIN($F21,$G21,3),MIN($F21,$G21)))</x:f>
        <x:v>1</x:v>
      </x:c>
      <x:c r="K21" s="55" t="str">
        <x:f>IF($E21="Not Applicable","N/A",IF($J21&gt;=5,"No Gap",IF($J21&gt;=4,"Improvement",IF($J21&gt;=3,"Low",IF($J21&gt;=2,"Medium",IF($J21&gt;=1,"High","Critical"))))))</x:f>
        <x:v>High</x:v>
      </x:c>
      <x:c r="L21" s="55" t="str">
        <x:f>IF($K21="Critical","P0",IF($K21="High","P1",IF($K21="Medium","P2",IF($K21="Low","P3",IF($K21="Improvement","P3","Monitor")))))</x:f>
        <x:v>P1</x:v>
      </x:c>
      <x:c r="M21" s="55" t="str">
        <x:v>DPDP Owner + Process Owners</x:v>
      </x:c>
      <x:c r="N21" s="66" t="n">
        <x:f>IF($E21="Not Applicable","",$G21/5)</x:f>
        <x:v>0.2</x:v>
      </x:c>
      <x:c r="O21" s="55" t="str">
        <x:v>Link ROPA to retention, safeguards, notice, consent and rights/grievance workflows.</x:v>
      </x:c>
      <x:c r="P21" s="55" t="str">
        <x:v>ROPA / Processing Activity Register</x:v>
      </x:c>
      <x:c r="Q21" s="55" t="str">
        <x:v>Completed ROPA template</x:v>
      </x:c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5" t="str">
        <x:v>ROPA1.7</x:v>
      </x:c>
      <x:c r="B22" s="55" t="str">
        <x:v>D03</x:v>
      </x:c>
      <x:c r="C22" s="55" t="str">
        <x:v>ROPA / Records of Processing Activities</x:v>
      </x:c>
      <x:c r="D22" s="55" t="str">
        <x:v>Is ROPA updated when a new form, system, vendor, AI tool or data-sharing process is introduced?</x:v>
      </x:c>
      <x:c r="E22" s="55" t="str">
        <x:v>Applicable</x:v>
      </x:c>
      <x:c r="F22" s="55" t="n">
        <x:v>1</x:v>
      </x:c>
      <x:c r="G22" s="55" t="n">
        <x:v>1</x:v>
      </x:c>
      <x:c r="H22" s="55" t="str">
        <x:v>Requested</x:v>
      </x:c>
      <x:c r="I22" s="55" t="str">
        <x:v>Yes</x:v>
      </x:c>
      <x:c r="J22" s="55" t="n">
        <x:f>IF($E22="Not Applicable","",IF($I22="No",MIN($F22,$G22,3),MIN($F22,$G22)))</x:f>
        <x:v>1</x:v>
      </x:c>
      <x:c r="K22" s="55" t="str">
        <x:f>IF($E22="Not Applicable","N/A",IF($J22&gt;=5,"No Gap",IF($J22&gt;=4,"Improvement",IF($J22&gt;=3,"Low",IF($J22&gt;=2,"Medium",IF($J22&gt;=1,"High","Critical"))))))</x:f>
        <x:v>High</x:v>
      </x:c>
      <x:c r="L22" s="55" t="str">
        <x:f>IF($K22="Critical","P0",IF($K22="High","P1",IF($K22="Medium","P2",IF($K22="Low","P3",IF($K22="Improvement","P3","Monitor")))))</x:f>
        <x:v>P1</x:v>
      </x:c>
      <x:c r="M22" s="55" t="str">
        <x:v>DPDP Owner + Process Owners</x:v>
      </x:c>
      <x:c r="N22" s="66" t="n">
        <x:f>IF($E22="Not Applicable","",$G22/5)</x:f>
        <x:v>0.2</x:v>
      </x:c>
      <x:c r="O22" s="55" t="str">
        <x:v>Make ROPA update mandatory in change approvals.</x:v>
      </x:c>
      <x:c r="P22" s="55" t="str">
        <x:v>ROPA / Processing Activity Register</x:v>
      </x:c>
      <x:c r="Q22" s="55" t="str">
        <x:v>Change-management SOP</x:v>
      </x:c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5" t="str">
        <x:v>ROPA1.8</x:v>
      </x:c>
      <x:c r="B23" s="55" t="str">
        <x:v>D03</x:v>
      </x:c>
      <x:c r="C23" s="55" t="str">
        <x:v>ROPA / Records of Processing Activities</x:v>
      </x:c>
      <x:c r="D23" s="55" t="str">
        <x:v>Is ROPA reviewed periodically by DPDP owner or governance committee?</x:v>
      </x:c>
      <x:c r="E23" s="55" t="str">
        <x:v>Applicable</x:v>
      </x:c>
      <x:c r="F23" s="55" t="n">
        <x:v>1</x:v>
      </x:c>
      <x:c r="G23" s="55" t="n">
        <x:v>1</x:v>
      </x:c>
      <x:c r="H23" s="55" t="str">
        <x:v>Requested</x:v>
      </x:c>
      <x:c r="I23" s="55" t="str">
        <x:v>Yes</x:v>
      </x:c>
      <x:c r="J23" s="55" t="n">
        <x:f>IF($E23="Not Applicable","",IF($I23="No",MIN($F23,$G23,3),MIN($F23,$G23)))</x:f>
        <x:v>1</x:v>
      </x:c>
      <x:c r="K23" s="55" t="str">
        <x:f>IF($E23="Not Applicable","N/A",IF($J23&gt;=5,"No Gap",IF($J23&gt;=4,"Improvement",IF($J23&gt;=3,"Low",IF($J23&gt;=2,"Medium",IF($J23&gt;=1,"High","Critical"))))))</x:f>
        <x:v>High</x:v>
      </x:c>
      <x:c r="L23" s="55" t="str">
        <x:f>IF($K23="Critical","P0",IF($K23="High","P1",IF($K23="Medium","P2",IF($K23="Low","P3",IF($K23="Improvement","P3","Monitor")))))</x:f>
        <x:v>P1</x:v>
      </x:c>
      <x:c r="M23" s="55" t="str">
        <x:v>DPDP Owner + Process Owners</x:v>
      </x:c>
      <x:c r="N23" s="66" t="n">
        <x:f>IF($E23="Not Applicable","",$G23/5)</x:f>
        <x:v>0.2</x:v>
      </x:c>
      <x:c r="O23" s="55" t="str">
        <x:v>Add ROPA review to DPDP governance cadence.</x:v>
      </x:c>
      <x:c r="P23" s="55" t="str">
        <x:v>ROPA / Processing Activity Register</x:v>
      </x:c>
      <x:c r="Q23" s="55" t="str">
        <x:v>Review minutes / dashboard</x:v>
      </x:c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5" t="str">
        <x:v>P1.1</x:v>
      </x:c>
      <x:c r="B24" s="55" t="str">
        <x:v>D04</x:v>
      </x:c>
      <x:c r="C24" s="55" t="str">
        <x:v>Purpose, lawful basis and data minimisation</x:v>
      </x:c>
      <x:c r="D24" s="55" t="str">
        <x:v>Is a specific purpose documented for every category of personal data collected?</x:v>
      </x:c>
      <x:c r="E24" s="55" t="str">
        <x:v>Applicable</x:v>
      </x:c>
      <x:c r="F24" s="55" t="n">
        <x:v>2</x:v>
      </x:c>
      <x:c r="G24" s="55" t="n">
        <x:v>2</x:v>
      </x:c>
      <x:c r="H24" s="55" t="str">
        <x:v>Partial</x:v>
      </x:c>
      <x:c r="I24" s="55" t="str">
        <x:v>Yes</x:v>
      </x:c>
      <x:c r="J24" s="55" t="n">
        <x:f>IF($E24="Not Applicable","",IF($I24="No",MIN($F24,$G24,3),MIN($F24,$G24)))</x:f>
        <x:v>2</x:v>
      </x:c>
      <x:c r="K24" s="55" t="str">
        <x:f>IF($E24="Not Applicable","N/A",IF($J24&gt;=5,"No Gap",IF($J24&gt;=4,"Improvement",IF($J24&gt;=3,"Low",IF($J24&gt;=2,"Medium",IF($J24&gt;=1,"High","Critical"))))))</x:f>
        <x:v>Medium</x:v>
      </x:c>
      <x:c r="L24" s="55" t="str">
        <x:f>IF($K24="Critical","P0",IF($K24="High","P1",IF($K24="Medium","P2",IF($K24="Low","P3",IF($K24="Improvement","P3","Monitor")))))</x:f>
        <x:v>P2</x:v>
      </x:c>
      <x:c r="M24" s="55" t="str">
        <x:v>Legal + Process Owners</x:v>
      </x:c>
      <x:c r="N24" s="66" t="n">
        <x:f>IF($E24="Not Applicable","",$G24/5)</x:f>
        <x:v>0.4</x:v>
      </x:c>
      <x:c r="O24" s="55" t="str">
        <x:v>Create data-purpose mapping for every form/process.</x:v>
      </x:c>
      <x:c r="P24" s="55" t="str">
        <x:v>Purpose &amp; Lawful Basis Register</x:v>
      </x:c>
      <x:c r="Q24" s="55" t="str">
        <x:v>Purpose mapping register</x:v>
      </x:c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5" t="str">
        <x:v>P1.2</x:v>
      </x:c>
      <x:c r="B25" s="55" t="str">
        <x:v>D04</x:v>
      </x:c>
      <x:c r="C25" s="55" t="str">
        <x:v>Purpose, lawful basis and data minimisation</x:v>
      </x:c>
      <x:c r="D25" s="55" t="str">
        <x:v>Has each processing activity been mapped to consent or another legally reviewed DPDP basis?</x:v>
      </x:c>
      <x:c r="E25" s="55" t="str">
        <x:v>Applicable</x:v>
      </x:c>
      <x:c r="F25" s="55" t="n">
        <x:v>2</x:v>
      </x:c>
      <x:c r="G25" s="55" t="n">
        <x:v>2</x:v>
      </x:c>
      <x:c r="H25" s="55" t="str">
        <x:v>Partial</x:v>
      </x:c>
      <x:c r="I25" s="55" t="str">
        <x:v>Yes</x:v>
      </x:c>
      <x:c r="J25" s="55" t="n">
        <x:f>IF($E25="Not Applicable","",IF($I25="No",MIN($F25,$G25,3),MIN($F25,$G25)))</x:f>
        <x:v>2</x:v>
      </x:c>
      <x:c r="K25" s="55" t="str">
        <x:f>IF($E25="Not Applicable","N/A",IF($J25&gt;=5,"No Gap",IF($J25&gt;=4,"Improvement",IF($J25&gt;=3,"Low",IF($J25&gt;=2,"Medium",IF($J25&gt;=1,"High","Critical"))))))</x:f>
        <x:v>Medium</x:v>
      </x:c>
      <x:c r="L25" s="55" t="str">
        <x:f>IF($K25="Critical","P0",IF($K25="High","P1",IF($K25="Medium","P2",IF($K25="Low","P3",IF($K25="Improvement","P3","Monitor")))))</x:f>
        <x:v>P2</x:v>
      </x:c>
      <x:c r="M25" s="55" t="str">
        <x:v>Legal + Process Owners</x:v>
      </x:c>
      <x:c r="N25" s="66" t="n">
        <x:f>IF($E25="Not Applicable","",$G25/5)</x:f>
        <x:v>0.4</x:v>
      </x:c>
      <x:c r="O25" s="55" t="str">
        <x:v>Classify processing basis with legal review.</x:v>
      </x:c>
      <x:c r="P25" s="55" t="str">
        <x:v>Purpose &amp; Lawful Basis Register</x:v>
      </x:c>
      <x:c r="Q25" s="55" t="str">
        <x:v>Lawful/DPDP basis register</x:v>
      </x:c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5" t="str">
        <x:v>P1.3</x:v>
      </x:c>
      <x:c r="B26" s="55" t="str">
        <x:v>D04</x:v>
      </x:c>
      <x:c r="C26" s="55" t="str">
        <x:v>Purpose, lawful basis and data minimisation</x:v>
      </x:c>
      <x:c r="D26" s="55" t="str">
        <x:v>Are unnecessary fields removed from forms and systems?</x:v>
      </x:c>
      <x:c r="E26" s="55" t="str">
        <x:v>Applicable</x:v>
      </x:c>
      <x:c r="F26" s="55" t="n">
        <x:v>2</x:v>
      </x:c>
      <x:c r="G26" s="55" t="n">
        <x:v>2</x:v>
      </x:c>
      <x:c r="H26" s="55" t="str">
        <x:v>Partial</x:v>
      </x:c>
      <x:c r="I26" s="55" t="str">
        <x:v>Yes</x:v>
      </x:c>
      <x:c r="J26" s="55" t="n">
        <x:f>IF($E26="Not Applicable","",IF($I26="No",MIN($F26,$G26,3),MIN($F26,$G26)))</x:f>
        <x:v>2</x:v>
      </x:c>
      <x:c r="K26" s="55" t="str">
        <x:f>IF($E26="Not Applicable","N/A",IF($J26&gt;=5,"No Gap",IF($J26&gt;=4,"Improvement",IF($J26&gt;=3,"Low",IF($J26&gt;=2,"Medium",IF($J26&gt;=1,"High","Critical"))))))</x:f>
        <x:v>Medium</x:v>
      </x:c>
      <x:c r="L26" s="55" t="str">
        <x:f>IF($K26="Critical","P0",IF($K26="High","P1",IF($K26="Medium","P2",IF($K26="Low","P3",IF($K26="Improvement","P3","Monitor")))))</x:f>
        <x:v>P2</x:v>
      </x:c>
      <x:c r="M26" s="55" t="str">
        <x:v>Legal + Process Owners</x:v>
      </x:c>
      <x:c r="N26" s="66" t="n">
        <x:f>IF($E26="Not Applicable","",$G26/5)</x:f>
        <x:v>0.4</x:v>
      </x:c>
      <x:c r="O26" s="55" t="str">
        <x:v>Remove non-essential fields and record rationale.</x:v>
      </x:c>
      <x:c r="P26" s="55" t="str">
        <x:v>Purpose &amp; Lawful Basis Register</x:v>
      </x:c>
      <x:c r="Q26" s="55" t="str">
        <x:v>Form review report</x:v>
      </x:c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5" t="str">
        <x:v>P1.4</x:v>
      </x:c>
      <x:c r="B27" s="55" t="str">
        <x:v>D04</x:v>
      </x:c>
      <x:c r="C27" s="55" t="str">
        <x:v>Purpose, lawful basis and data minimisation</x:v>
      </x:c>
      <x:c r="D27" s="55" t="str">
        <x:v>Are mandatory and optional fields clearly separated?</x:v>
      </x:c>
      <x:c r="E27" s="55" t="str">
        <x:v>Applicable</x:v>
      </x:c>
      <x:c r="F27" s="55" t="n">
        <x:v>2</x:v>
      </x:c>
      <x:c r="G27" s="55" t="n">
        <x:v>2</x:v>
      </x:c>
      <x:c r="H27" s="55" t="str">
        <x:v>Partial</x:v>
      </x:c>
      <x:c r="I27" s="55" t="str">
        <x:v>Yes</x:v>
      </x:c>
      <x:c r="J27" s="55" t="n">
        <x:f>IF($E27="Not Applicable","",IF($I27="No",MIN($F27,$G27,3),MIN($F27,$G27)))</x:f>
        <x:v>2</x:v>
      </x:c>
      <x:c r="K27" s="55" t="str">
        <x:f>IF($E27="Not Applicable","N/A",IF($J27&gt;=5,"No Gap",IF($J27&gt;=4,"Improvement",IF($J27&gt;=3,"Low",IF($J27&gt;=2,"Medium",IF($J27&gt;=1,"High","Critical"))))))</x:f>
        <x:v>Medium</x:v>
      </x:c>
      <x:c r="L27" s="55" t="str">
        <x:f>IF($K27="Critical","P0",IF($K27="High","P1",IF($K27="Medium","P2",IF($K27="Low","P3",IF($K27="Improvement","P3","Monitor")))))</x:f>
        <x:v>P2</x:v>
      </x:c>
      <x:c r="M27" s="55" t="str">
        <x:v>Legal + Process Owners</x:v>
      </x:c>
      <x:c r="N27" s="66" t="n">
        <x:f>IF($E27="Not Applicable","",$G27/5)</x:f>
        <x:v>0.4</x:v>
      </x:c>
      <x:c r="O27" s="55" t="str">
        <x:v>Mark mandatory and optional fields in every collection form.</x:v>
      </x:c>
      <x:c r="P27" s="55" t="str">
        <x:v>Purpose &amp; Lawful Basis Register</x:v>
      </x:c>
      <x:c r="Q27" s="55" t="str">
        <x:v>Form screenshots / field list</x:v>
      </x:c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5" t="str">
        <x:v>P1.5</x:v>
      </x:c>
      <x:c r="B28" s="55" t="str">
        <x:v>D04</x:v>
      </x:c>
      <x:c r="C28" s="55" t="str">
        <x:v>Purpose, lawful basis and data minimisation</x:v>
      </x:c>
      <x:c r="D28" s="55" t="str">
        <x:v>Is data used only for the purpose communicated to the Data Principal?</x:v>
      </x:c>
      <x:c r="E28" s="55" t="str">
        <x:v>Applicable</x:v>
      </x:c>
      <x:c r="F28" s="55" t="n">
        <x:v>2</x:v>
      </x:c>
      <x:c r="G28" s="55" t="n">
        <x:v>2</x:v>
      </x:c>
      <x:c r="H28" s="55" t="str">
        <x:v>Partial</x:v>
      </x:c>
      <x:c r="I28" s="55" t="str">
        <x:v>Yes</x:v>
      </x:c>
      <x:c r="J28" s="55" t="n">
        <x:f>IF($E28="Not Applicable","",IF($I28="No",MIN($F28,$G28,3),MIN($F28,$G28)))</x:f>
        <x:v>2</x:v>
      </x:c>
      <x:c r="K28" s="55" t="str">
        <x:f>IF($E28="Not Applicable","N/A",IF($J28&gt;=5,"No Gap",IF($J28&gt;=4,"Improvement",IF($J28&gt;=3,"Low",IF($J28&gt;=2,"Medium",IF($J28&gt;=1,"High","Critical"))))))</x:f>
        <x:v>Medium</x:v>
      </x:c>
      <x:c r="L28" s="55" t="str">
        <x:f>IF($K28="Critical","P0",IF($K28="High","P1",IF($K28="Medium","P2",IF($K28="Low","P3",IF($K28="Improvement","P3","Monitor")))))</x:f>
        <x:v>P2</x:v>
      </x:c>
      <x:c r="M28" s="55" t="str">
        <x:v>Legal + Process Owners</x:v>
      </x:c>
      <x:c r="N28" s="66" t="n">
        <x:f>IF($E28="Not Applicable","",$G28/5)</x:f>
        <x:v>0.4</x:v>
      </x:c>
      <x:c r="O28" s="55" t="str">
        <x:v>Create control to prevent purpose drift.</x:v>
      </x:c>
      <x:c r="P28" s="55" t="str">
        <x:v>Purpose &amp; Lawful Basis Register</x:v>
      </x:c>
      <x:c r="Q28" s="55" t="str">
        <x:v>Notice-purpose mapping</x:v>
      </x:c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5" t="str">
        <x:v>P1.6</x:v>
      </x:c>
      <x:c r="B29" s="55" t="str">
        <x:v>D04</x:v>
      </x:c>
      <x:c r="C29" s="55" t="str">
        <x:v>Purpose, lawful basis and data minimisation</x:v>
      </x:c>
      <x:c r="D29" s="55" t="str">
        <x:v>Is there a review process before adding new data fields to any form, app, ERP, CRM or SaaS workflow?</x:v>
      </x:c>
      <x:c r="E29" s="55" t="str">
        <x:v>Applicable</x:v>
      </x:c>
      <x:c r="F29" s="55" t="n">
        <x:v>2</x:v>
      </x:c>
      <x:c r="G29" s="55" t="n">
        <x:v>2</x:v>
      </x:c>
      <x:c r="H29" s="55" t="str">
        <x:v>Partial</x:v>
      </x:c>
      <x:c r="I29" s="55" t="str">
        <x:v>Yes</x:v>
      </x:c>
      <x:c r="J29" s="55" t="n">
        <x:f>IF($E29="Not Applicable","",IF($I29="No",MIN($F29,$G29,3),MIN($F29,$G29)))</x:f>
        <x:v>2</x:v>
      </x:c>
      <x:c r="K29" s="55" t="str">
        <x:f>IF($E29="Not Applicable","N/A",IF($J29&gt;=5,"No Gap",IF($J29&gt;=4,"Improvement",IF($J29&gt;=3,"Low",IF($J29&gt;=2,"Medium",IF($J29&gt;=1,"High","Critical"))))))</x:f>
        <x:v>Medium</x:v>
      </x:c>
      <x:c r="L29" s="55" t="str">
        <x:f>IF($K29="Critical","P0",IF($K29="High","P1",IF($K29="Medium","P2",IF($K29="Low","P3",IF($K29="Improvement","P3","Monitor")))))</x:f>
        <x:v>P2</x:v>
      </x:c>
      <x:c r="M29" s="55" t="str">
        <x:v>Legal + Process Owners</x:v>
      </x:c>
      <x:c r="N29" s="66" t="n">
        <x:f>IF($E29="Not Applicable","",$G29/5)</x:f>
        <x:v>0.4</x:v>
      </x:c>
      <x:c r="O29" s="55" t="str">
        <x:v>Add privacy review before new data-field deployment.</x:v>
      </x:c>
      <x:c r="P29" s="55" t="str">
        <x:v>Purpose &amp; Lawful Basis Register</x:v>
      </x:c>
      <x:c r="Q29" s="55" t="str">
        <x:v>Change approval workflow</x:v>
      </x:c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5" t="str">
        <x:v>N1.1</x:v>
      </x:c>
      <x:c r="B30" s="55" t="str">
        <x:v>D05</x:v>
      </x:c>
      <x:c r="C30" s="55" t="str">
        <x:v>Notice management</x:v>
      </x:c>
      <x:c r="D30" s="55" t="str">
        <x:v>Are notices provided before or at the time of collecting personal data?</x:v>
      </x:c>
      <x:c r="E30" s="55" t="str">
        <x:v>Applicable</x:v>
      </x:c>
      <x:c r="F30" s="55" t="n">
        <x:v>2</x:v>
      </x:c>
      <x:c r="G30" s="55" t="n">
        <x:v>2</x:v>
      </x:c>
      <x:c r="H30" s="55" t="str">
        <x:v>Partial</x:v>
      </x:c>
      <x:c r="I30" s="55" t="str">
        <x:v>Yes</x:v>
      </x:c>
      <x:c r="J30" s="55" t="n">
        <x:f>IF($E30="Not Applicable","",IF($I30="No",MIN($F30,$G30,3),MIN($F30,$G30)))</x:f>
        <x:v>2</x:v>
      </x:c>
      <x:c r="K30" s="55" t="str">
        <x:f>IF($E30="Not Applicable","N/A",IF($J30&gt;=5,"No Gap",IF($J30&gt;=4,"Improvement",IF($J30&gt;=3,"Low",IF($J30&gt;=2,"Medium",IF($J30&gt;=1,"High","Critical"))))))</x:f>
        <x:v>Medium</x:v>
      </x:c>
      <x:c r="L30" s="55" t="str">
        <x:f>IF($K30="Critical","P0",IF($K30="High","P1",IF($K30="Medium","P2",IF($K30="Low","P3",IF($K30="Improvement","P3","Monitor")))))</x:f>
        <x:v>P2</x:v>
      </x:c>
      <x:c r="M30" s="55" t="str">
        <x:v>Legal + IT</x:v>
      </x:c>
      <x:c r="N30" s="66" t="n">
        <x:f>IF($E30="Not Applicable","",$G30/5)</x:f>
        <x:v>0.4</x:v>
      </x:c>
      <x:c r="O30" s="55" t="str">
        <x:v>Publish notice at every major collection point.</x:v>
      </x:c>
      <x:c r="P30" s="55" t="str">
        <x:v>Privacy Notice Register</x:v>
      </x:c>
      <x:c r="Q30" s="55" t="str">
        <x:v>Form screenshots / notice links</x:v>
      </x:c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5" t="str">
        <x:v>N1.2</x:v>
      </x:c>
      <x:c r="B31" s="55" t="str">
        <x:v>D05</x:v>
      </x:c>
      <x:c r="C31" s="55" t="str">
        <x:v>Notice management</x:v>
      </x:c>
      <x:c r="D31" s="55" t="str">
        <x:v>Does each notice clearly list what personal data is collected?</x:v>
      </x:c>
      <x:c r="E31" s="55" t="str">
        <x:v>Applicable</x:v>
      </x:c>
      <x:c r="F31" s="55" t="n">
        <x:v>2</x:v>
      </x:c>
      <x:c r="G31" s="55" t="n">
        <x:v>2</x:v>
      </x:c>
      <x:c r="H31" s="55" t="str">
        <x:v>Partial</x:v>
      </x:c>
      <x:c r="I31" s="55" t="str">
        <x:v>Yes</x:v>
      </x:c>
      <x:c r="J31" s="55" t="n">
        <x:f>IF($E31="Not Applicable","",IF($I31="No",MIN($F31,$G31,3),MIN($F31,$G31)))</x:f>
        <x:v>2</x:v>
      </x:c>
      <x:c r="K31" s="55" t="str">
        <x:f>IF($E31="Not Applicable","N/A",IF($J31&gt;=5,"No Gap",IF($J31&gt;=4,"Improvement",IF($J31&gt;=3,"Low",IF($J31&gt;=2,"Medium",IF($J31&gt;=1,"High","Critical"))))))</x:f>
        <x:v>Medium</x:v>
      </x:c>
      <x:c r="L31" s="55" t="str">
        <x:f>IF($K31="Critical","P0",IF($K31="High","P1",IF($K31="Medium","P2",IF($K31="Low","P3",IF($K31="Improvement","P3","Monitor")))))</x:f>
        <x:v>P2</x:v>
      </x:c>
      <x:c r="M31" s="55" t="str">
        <x:v>Legal + IT</x:v>
      </x:c>
      <x:c r="N31" s="66" t="n">
        <x:f>IF($E31="Not Applicable","",$G31/5)</x:f>
        <x:v>0.4</x:v>
      </x:c>
      <x:c r="O31" s="55" t="str">
        <x:v>Add itemised personal data categories to notices.</x:v>
      </x:c>
      <x:c r="P31" s="55" t="str">
        <x:v>Privacy Notice Register</x:v>
      </x:c>
      <x:c r="Q31" s="55" t="str">
        <x:v>Notice text / data-purpose table</x:v>
      </x:c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5" t="str">
        <x:v>N1.3</x:v>
      </x:c>
      <x:c r="B32" s="55" t="str">
        <x:v>D05</x:v>
      </x:c>
      <x:c r="C32" s="55" t="str">
        <x:v>Notice management</x:v>
      </x:c>
      <x:c r="D32" s="55" t="str">
        <x:v>Does each notice clearly state the specific purpose of processing?</x:v>
      </x:c>
      <x:c r="E32" s="55" t="str">
        <x:v>Applicable</x:v>
      </x:c>
      <x:c r="F32" s="55" t="n">
        <x:v>2</x:v>
      </x:c>
      <x:c r="G32" s="55" t="n">
        <x:v>2</x:v>
      </x:c>
      <x:c r="H32" s="55" t="str">
        <x:v>Partial</x:v>
      </x:c>
      <x:c r="I32" s="55" t="str">
        <x:v>Yes</x:v>
      </x:c>
      <x:c r="J32" s="55" t="n">
        <x:f>IF($E32="Not Applicable","",IF($I32="No",MIN($F32,$G32,3),MIN($F32,$G32)))</x:f>
        <x:v>2</x:v>
      </x:c>
      <x:c r="K32" s="55" t="str">
        <x:f>IF($E32="Not Applicable","N/A",IF($J32&gt;=5,"No Gap",IF($J32&gt;=4,"Improvement",IF($J32&gt;=3,"Low",IF($J32&gt;=2,"Medium",IF($J32&gt;=1,"High","Critical"))))))</x:f>
        <x:v>Medium</x:v>
      </x:c>
      <x:c r="L32" s="55" t="str">
        <x:f>IF($K32="Critical","P0",IF($K32="High","P1",IF($K32="Medium","P2",IF($K32="Low","P3",IF($K32="Improvement","P3","Monitor")))))</x:f>
        <x:v>P2</x:v>
      </x:c>
      <x:c r="M32" s="55" t="str">
        <x:v>Legal + IT</x:v>
      </x:c>
      <x:c r="N32" s="66" t="n">
        <x:f>IF($E32="Not Applicable","",$G32/5)</x:f>
        <x:v>0.4</x:v>
      </x:c>
      <x:c r="O32" s="55" t="str">
        <x:v>Add purpose language to process-specific notices.</x:v>
      </x:c>
      <x:c r="P32" s="55" t="str">
        <x:v>Privacy Notice Register</x:v>
      </x:c>
      <x:c r="Q32" s="55" t="str">
        <x:v>Notice-purpose mapping</x:v>
      </x:c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5" t="str">
        <x:v>N1.4</x:v>
      </x:c>
      <x:c r="B33" s="55" t="str">
        <x:v>D05</x:v>
      </x:c>
      <x:c r="C33" s="55" t="str">
        <x:v>Notice management</x:v>
      </x:c>
      <x:c r="D33" s="55" t="str">
        <x:v>Does the notice explain rights, consent withdrawal where applicable, and complaint mechanisms?</x:v>
      </x:c>
      <x:c r="E33" s="55" t="str">
        <x:v>Applicable</x:v>
      </x:c>
      <x:c r="F33" s="55" t="n">
        <x:v>2</x:v>
      </x:c>
      <x:c r="G33" s="55" t="n">
        <x:v>2</x:v>
      </x:c>
      <x:c r="H33" s="55" t="str">
        <x:v>Partial</x:v>
      </x:c>
      <x:c r="I33" s="55" t="str">
        <x:v>Yes</x:v>
      </x:c>
      <x:c r="J33" s="55" t="n">
        <x:f>IF($E33="Not Applicable","",IF($I33="No",MIN($F33,$G33,3),MIN($F33,$G33)))</x:f>
        <x:v>2</x:v>
      </x:c>
      <x:c r="K33" s="55" t="str">
        <x:f>IF($E33="Not Applicable","N/A",IF($J33&gt;=5,"No Gap",IF($J33&gt;=4,"Improvement",IF($J33&gt;=3,"Low",IF($J33&gt;=2,"Medium",IF($J33&gt;=1,"High","Critical"))))))</x:f>
        <x:v>Medium</x:v>
      </x:c>
      <x:c r="L33" s="55" t="str">
        <x:f>IF($K33="Critical","P0",IF($K33="High","P1",IF($K33="Medium","P2",IF($K33="Low","P3",IF($K33="Improvement","P3","Monitor")))))</x:f>
        <x:v>P2</x:v>
      </x:c>
      <x:c r="M33" s="55" t="str">
        <x:v>Legal + IT</x:v>
      </x:c>
      <x:c r="N33" s="66" t="n">
        <x:f>IF($E33="Not Applicable","",$G33/5)</x:f>
        <x:v>0.4</x:v>
      </x:c>
      <x:c r="O33" s="55" t="str">
        <x:v>Add rights, withdrawal and complaint links to notices.</x:v>
      </x:c>
      <x:c r="P33" s="55" t="str">
        <x:v>Privacy Notice Register</x:v>
      </x:c>
      <x:c r="Q33" s="55" t="str">
        <x:v>Notice text / links</x:v>
      </x:c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5" t="str">
        <x:v>N1.5</x:v>
      </x:c>
      <x:c r="B34" s="55" t="str">
        <x:v>D05</x:v>
      </x:c>
      <x:c r="C34" s="55" t="str">
        <x:v>Notice management</x:v>
      </x:c>
      <x:c r="D34" s="55" t="str">
        <x:v>Is notice available in English and relevant Indian languages where needed for the audience?</x:v>
      </x:c>
      <x:c r="E34" s="55" t="str">
        <x:v>Applicable</x:v>
      </x:c>
      <x:c r="F34" s="55" t="n">
        <x:v>2</x:v>
      </x:c>
      <x:c r="G34" s="55" t="n">
        <x:v>2</x:v>
      </x:c>
      <x:c r="H34" s="55" t="str">
        <x:v>Partial</x:v>
      </x:c>
      <x:c r="I34" s="55" t="str">
        <x:v>Yes</x:v>
      </x:c>
      <x:c r="J34" s="55" t="n">
        <x:f>IF($E34="Not Applicable","",IF($I34="No",MIN($F34,$G34,3),MIN($F34,$G34)))</x:f>
        <x:v>2</x:v>
      </x:c>
      <x:c r="K34" s="55" t="str">
        <x:f>IF($E34="Not Applicable","N/A",IF($J34&gt;=5,"No Gap",IF($J34&gt;=4,"Improvement",IF($J34&gt;=3,"Low",IF($J34&gt;=2,"Medium",IF($J34&gt;=1,"High","Critical"))))))</x:f>
        <x:v>Medium</x:v>
      </x:c>
      <x:c r="L34" s="55" t="str">
        <x:f>IF($K34="Critical","P0",IF($K34="High","P1",IF($K34="Medium","P2",IF($K34="Low","P3",IF($K34="Improvement","P3","Monitor")))))</x:f>
        <x:v>P2</x:v>
      </x:c>
      <x:c r="M34" s="55" t="str">
        <x:v>Legal + IT</x:v>
      </x:c>
      <x:c r="N34" s="66" t="n">
        <x:f>IF($E34="Not Applicable","",$G34/5)</x:f>
        <x:v>0.4</x:v>
      </x:c>
      <x:c r="O34" s="55" t="str">
        <x:v>Prepare required language versions based on user segment.</x:v>
      </x:c>
      <x:c r="P34" s="55" t="str">
        <x:v>Privacy Notice Register</x:v>
      </x:c>
      <x:c r="Q34" s="55" t="str">
        <x:v>Language versions</x:v>
      </x:c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5" t="str">
        <x:v>N1.6</x:v>
      </x:c>
      <x:c r="B35" s="55" t="str">
        <x:v>D05</x:v>
      </x:c>
      <x:c r="C35" s="55" t="str">
        <x:v>Notice management</x:v>
      </x:c>
      <x:c r="D35" s="55" t="str">
        <x:v>Is there version control to prove which notice was active on a given date?</x:v>
      </x:c>
      <x:c r="E35" s="55" t="str">
        <x:v>Applicable</x:v>
      </x:c>
      <x:c r="F35" s="55" t="n">
        <x:v>2</x:v>
      </x:c>
      <x:c r="G35" s="55" t="n">
        <x:v>2</x:v>
      </x:c>
      <x:c r="H35" s="55" t="str">
        <x:v>Partial</x:v>
      </x:c>
      <x:c r="I35" s="55" t="str">
        <x:v>Yes</x:v>
      </x:c>
      <x:c r="J35" s="55" t="n">
        <x:f>IF($E35="Not Applicable","",IF($I35="No",MIN($F35,$G35,3),MIN($F35,$G35)))</x:f>
        <x:v>2</x:v>
      </x:c>
      <x:c r="K35" s="55" t="str">
        <x:f>IF($E35="Not Applicable","N/A",IF($J35&gt;=5,"No Gap",IF($J35&gt;=4,"Improvement",IF($J35&gt;=3,"Low",IF($J35&gt;=2,"Medium",IF($J35&gt;=1,"High","Critical"))))))</x:f>
        <x:v>Medium</x:v>
      </x:c>
      <x:c r="L35" s="55" t="str">
        <x:f>IF($K35="Critical","P0",IF($K35="High","P1",IF($K35="Medium","P2",IF($K35="Low","P3",IF($K35="Improvement","P3","Monitor")))))</x:f>
        <x:v>P2</x:v>
      </x:c>
      <x:c r="M35" s="55" t="str">
        <x:v>Legal + IT</x:v>
      </x:c>
      <x:c r="N35" s="66" t="n">
        <x:f>IF($E35="Not Applicable","",$G35/5)</x:f>
        <x:v>0.4</x:v>
      </x:c>
      <x:c r="O35" s="55" t="str">
        <x:v>Maintain notice version history and publication evidence.</x:v>
      </x:c>
      <x:c r="P35" s="55" t="str">
        <x:v>Privacy Notice Register</x:v>
      </x:c>
      <x:c r="Q35" s="55" t="str">
        <x:v>Notice version register</x:v>
      </x:c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5" t="str">
        <x:v>C1.1</x:v>
      </x:c>
      <x:c r="B36" s="55" t="str">
        <x:v>D06</x:v>
      </x:c>
      <x:c r="C36" s="55" t="str">
        <x:v>Consent and consent withdrawal</x:v>
      </x:c>
      <x:c r="D36" s="55" t="str">
        <x:v>Is consent captured through clear affirmative action where consent is the basis of processing?</x:v>
      </x:c>
      <x:c r="E36" s="55" t="str">
        <x:v>Conditional</x:v>
      </x:c>
      <x:c r="F36" s="55" t="n">
        <x:v>1</x:v>
      </x:c>
      <x:c r="G36" s="55" t="n">
        <x:v>1</x:v>
      </x:c>
      <x:c r="H36" s="55" t="str">
        <x:v>Requested</x:v>
      </x:c>
      <x:c r="I36" s="55" t="str">
        <x:v>Yes</x:v>
      </x:c>
      <x:c r="J36" s="55" t="n">
        <x:f>IF($E36="Not Applicable","",IF($I36="No",MIN($F36,$G36,3),MIN($F36,$G36)))</x:f>
        <x:v>1</x:v>
      </x:c>
      <x:c r="K36" s="55" t="str">
        <x:f>IF($E36="Not Applicable","N/A",IF($J36&gt;=5,"No Gap",IF($J36&gt;=4,"Improvement",IF($J36&gt;=3,"Low",IF($J36&gt;=2,"Medium",IF($J36&gt;=1,"High","Critical"))))))</x:f>
        <x:v>High</x:v>
      </x:c>
      <x:c r="L36" s="55" t="str">
        <x:f>IF($K36="Critical","P0",IF($K36="High","P1",IF($K36="Medium","P2",IF($K36="Low","P3",IF($K36="Improvement","P3","Monitor")))))</x:f>
        <x:v>P1</x:v>
      </x:c>
      <x:c r="M36" s="55" t="str">
        <x:v>Legal + IT + Process Owners</x:v>
      </x:c>
      <x:c r="N36" s="66" t="n">
        <x:f>IF($E36="Not Applicable","",$G36/5)</x:f>
        <x:v>0.2</x:v>
      </x:c>
      <x:c r="O36" s="55" t="str">
        <x:v>Use clear affirmative consent capture.</x:v>
      </x:c>
      <x:c r="P36" s="55" t="str">
        <x:v>Consent Register</x:v>
      </x:c>
      <x:c r="Q36" s="55" t="str">
        <x:v>Consent UI / logs</x:v>
      </x:c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5" t="str">
        <x:v>C1.2</x:v>
      </x:c>
      <x:c r="B37" s="55" t="str">
        <x:v>D06</x:v>
      </x:c>
      <x:c r="C37" s="55" t="str">
        <x:v>Consent and consent withdrawal</x:v>
      </x:c>
      <x:c r="D37" s="55" t="str">
        <x:v>Are consent requests separated by purpose instead of bundled into one broad checkbox?</x:v>
      </x:c>
      <x:c r="E37" s="55" t="str">
        <x:v>Conditional</x:v>
      </x:c>
      <x:c r="F37" s="55" t="n">
        <x:v>1</x:v>
      </x:c>
      <x:c r="G37" s="55" t="n">
        <x:v>1</x:v>
      </x:c>
      <x:c r="H37" s="55" t="str">
        <x:v>Requested</x:v>
      </x:c>
      <x:c r="I37" s="55" t="str">
        <x:v>Yes</x:v>
      </x:c>
      <x:c r="J37" s="55" t="n">
        <x:f>IF($E37="Not Applicable","",IF($I37="No",MIN($F37,$G37,3),MIN($F37,$G37)))</x:f>
        <x:v>1</x:v>
      </x:c>
      <x:c r="K37" s="55" t="str">
        <x:f>IF($E37="Not Applicable","N/A",IF($J37&gt;=5,"No Gap",IF($J37&gt;=4,"Improvement",IF($J37&gt;=3,"Low",IF($J37&gt;=2,"Medium",IF($J37&gt;=1,"High","Critical"))))))</x:f>
        <x:v>High</x:v>
      </x:c>
      <x:c r="L37" s="55" t="str">
        <x:f>IF($K37="Critical","P0",IF($K37="High","P1",IF($K37="Medium","P2",IF($K37="Low","P3",IF($K37="Improvement","P3","Monitor")))))</x:f>
        <x:v>P1</x:v>
      </x:c>
      <x:c r="M37" s="55" t="str">
        <x:v>Legal + IT + Process Owners</x:v>
      </x:c>
      <x:c r="N37" s="66" t="n">
        <x:f>IF($E37="Not Applicable","",$G37/5)</x:f>
        <x:v>0.2</x:v>
      </x:c>
      <x:c r="O37" s="55" t="str">
        <x:v>Split consent by purpose.</x:v>
      </x:c>
      <x:c r="P37" s="55" t="str">
        <x:v>Consent Register</x:v>
      </x:c>
      <x:c r="Q37" s="55" t="str">
        <x:v>Consent design screenshots</x:v>
      </x:c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5" t="str">
        <x:v>C1.3</x:v>
      </x:c>
      <x:c r="B38" s="55" t="str">
        <x:v>D06</x:v>
      </x:c>
      <x:c r="C38" s="55" t="str">
        <x:v>Consent and consent withdrawal</x:v>
      </x:c>
      <x:c r="D38" s="55" t="str">
        <x:v>Are pre-ticked boxes, forced consent or unnecessary bundled consent avoided?</x:v>
      </x:c>
      <x:c r="E38" s="55" t="str">
        <x:v>Conditional</x:v>
      </x:c>
      <x:c r="F38" s="55" t="n">
        <x:v>1</x:v>
      </x:c>
      <x:c r="G38" s="55" t="n">
        <x:v>1</x:v>
      </x:c>
      <x:c r="H38" s="55" t="str">
        <x:v>Requested</x:v>
      </x:c>
      <x:c r="I38" s="55" t="str">
        <x:v>Yes</x:v>
      </x:c>
      <x:c r="J38" s="55" t="n">
        <x:f>IF($E38="Not Applicable","",IF($I38="No",MIN($F38,$G38,3),MIN($F38,$G38)))</x:f>
        <x:v>1</x:v>
      </x:c>
      <x:c r="K38" s="55" t="str">
        <x:f>IF($E38="Not Applicable","N/A",IF($J38&gt;=5,"No Gap",IF($J38&gt;=4,"Improvement",IF($J38&gt;=3,"Low",IF($J38&gt;=2,"Medium",IF($J38&gt;=1,"High","Critical"))))))</x:f>
        <x:v>High</x:v>
      </x:c>
      <x:c r="L38" s="55" t="str">
        <x:f>IF($K38="Critical","P0",IF($K38="High","P1",IF($K38="Medium","P2",IF($K38="Low","P3",IF($K38="Improvement","P3","Monitor")))))</x:f>
        <x:v>P1</x:v>
      </x:c>
      <x:c r="M38" s="55" t="str">
        <x:v>Legal + IT + Process Owners</x:v>
      </x:c>
      <x:c r="N38" s="66" t="n">
        <x:f>IF($E38="Not Applicable","",$G38/5)</x:f>
        <x:v>0.2</x:v>
      </x:c>
      <x:c r="O38" s="55" t="str">
        <x:v>Remove pre-ticked/forced/bundled consent patterns.</x:v>
      </x:c>
      <x:c r="P38" s="55" t="str">
        <x:v>Consent Register</x:v>
      </x:c>
      <x:c r="Q38" s="55" t="str">
        <x:v>Consent UX review</x:v>
      </x:c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5" t="str">
        <x:v>C1.4</x:v>
      </x:c>
      <x:c r="B39" s="55" t="str">
        <x:v>D06</x:v>
      </x:c>
      <x:c r="C39" s="55" t="str">
        <x:v>Consent and consent withdrawal</x:v>
      </x:c>
      <x:c r="D39" s="55" t="str">
        <x:v>Are consent records stored with user ID, purpose, timestamp, notice version, source and status?</x:v>
      </x:c>
      <x:c r="E39" s="55" t="str">
        <x:v>Conditional</x:v>
      </x:c>
      <x:c r="F39" s="55" t="n">
        <x:v>0</x:v>
      </x:c>
      <x:c r="G39" s="55" t="n">
        <x:v>0</x:v>
      </x:c>
      <x:c r="H39" s="55" t="str">
        <x:v>Not Provided</x:v>
      </x:c>
      <x:c r="I39" s="55" t="str">
        <x:v>Yes</x:v>
      </x:c>
      <x:c r="J39" s="55" t="n">
        <x:f>IF($E39="Not Applicable","",IF($I39="No",MIN($F39,$G39,3),MIN($F39,$G39)))</x:f>
        <x:v>0</x:v>
      </x:c>
      <x:c r="K39" s="55" t="str">
        <x:f>IF($E39="Not Applicable","N/A",IF($J39&gt;=5,"No Gap",IF($J39&gt;=4,"Improvement",IF($J39&gt;=3,"Low",IF($J39&gt;=2,"Medium",IF($J39&gt;=1,"High","Critical"))))))</x:f>
        <x:v>Critical</x:v>
      </x:c>
      <x:c r="L39" s="55" t="str">
        <x:f>IF($K39="Critical","P0",IF($K39="High","P1",IF($K39="Medium","P2",IF($K39="Low","P3",IF($K39="Improvement","P3","Monitor")))))</x:f>
        <x:v>P0</x:v>
      </x:c>
      <x:c r="M39" s="55" t="str">
        <x:v>Legal + IT + Process Owners</x:v>
      </x:c>
      <x:c r="N39" s="66" t="n">
        <x:f>IF($E39="Not Applicable","",$G39/5)</x:f>
        <x:v>0</x:v>
      </x:c>
      <x:c r="O39" s="55" t="str">
        <x:v>Implement consent logging with purpose and notice version.</x:v>
      </x:c>
      <x:c r="P39" s="55" t="str">
        <x:v>Consent Register</x:v>
      </x:c>
      <x:c r="Q39" s="55" t="str">
        <x:v>Consent register / logs</x:v>
      </x:c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5" t="str">
        <x:v>C1.5</x:v>
      </x:c>
      <x:c r="B40" s="55" t="str">
        <x:v>D06</x:v>
      </x:c>
      <x:c r="C40" s="55" t="str">
        <x:v>Consent and consent withdrawal</x:v>
      </x:c>
      <x:c r="D40" s="55" t="str">
        <x:v>Can Data Principals withdraw consent easily through app, portal, email link or request workflow?</x:v>
      </x:c>
      <x:c r="E40" s="55" t="str">
        <x:v>Conditional</x:v>
      </x:c>
      <x:c r="F40" s="55" t="n">
        <x:v>1</x:v>
      </x:c>
      <x:c r="G40" s="55" t="n">
        <x:v>1</x:v>
      </x:c>
      <x:c r="H40" s="55" t="str">
        <x:v>Requested</x:v>
      </x:c>
      <x:c r="I40" s="55" t="str">
        <x:v>Yes</x:v>
      </x:c>
      <x:c r="J40" s="55" t="n">
        <x:f>IF($E40="Not Applicable","",IF($I40="No",MIN($F40,$G40,3),MIN($F40,$G40)))</x:f>
        <x:v>1</x:v>
      </x:c>
      <x:c r="K40" s="55" t="str">
        <x:f>IF($E40="Not Applicable","N/A",IF($J40&gt;=5,"No Gap",IF($J40&gt;=4,"Improvement",IF($J40&gt;=3,"Low",IF($J40&gt;=2,"Medium",IF($J40&gt;=1,"High","Critical"))))))</x:f>
        <x:v>High</x:v>
      </x:c>
      <x:c r="L40" s="55" t="str">
        <x:f>IF($K40="Critical","P0",IF($K40="High","P1",IF($K40="Medium","P2",IF($K40="Low","P3",IF($K40="Improvement","P3","Monitor")))))</x:f>
        <x:v>P1</x:v>
      </x:c>
      <x:c r="M40" s="55" t="str">
        <x:v>Legal + IT + Process Owners</x:v>
      </x:c>
      <x:c r="N40" s="66" t="n">
        <x:f>IF($E40="Not Applicable","",$G40/5)</x:f>
        <x:v>0.2</x:v>
      </x:c>
      <x:c r="O40" s="55" t="str">
        <x:v>Implement easy consent-withdrawal mechanism.</x:v>
      </x:c>
      <x:c r="P40" s="55" t="str">
        <x:v>Consent Register</x:v>
      </x:c>
      <x:c r="Q40" s="55" t="str">
        <x:v>Withdrawal workflow</x:v>
      </x:c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5" t="str">
        <x:v>C1.6</x:v>
      </x:c>
      <x:c r="B41" s="55" t="str">
        <x:v>D06</x:v>
      </x:c>
      <x:c r="C41" s="55" t="str">
        <x:v>Consent and consent withdrawal</x:v>
      </x:c>
      <x:c r="D41" s="55" t="str">
        <x:v>Does withdrawal trigger downstream stop-processing action across systems and processors?</x:v>
      </x:c>
      <x:c r="E41" s="55" t="str">
        <x:v>Conditional</x:v>
      </x:c>
      <x:c r="F41" s="55" t="n">
        <x:v>1</x:v>
      </x:c>
      <x:c r="G41" s="55" t="n">
        <x:v>1</x:v>
      </x:c>
      <x:c r="H41" s="55" t="str">
        <x:v>Requested</x:v>
      </x:c>
      <x:c r="I41" s="55" t="str">
        <x:v>Yes</x:v>
      </x:c>
      <x:c r="J41" s="55" t="n">
        <x:f>IF($E41="Not Applicable","",IF($I41="No",MIN($F41,$G41,3),MIN($F41,$G41)))</x:f>
        <x:v>1</x:v>
      </x:c>
      <x:c r="K41" s="55" t="str">
        <x:f>IF($E41="Not Applicable","N/A",IF($J41&gt;=5,"No Gap",IF($J41&gt;=4,"Improvement",IF($J41&gt;=3,"Low",IF($J41&gt;=2,"Medium",IF($J41&gt;=1,"High","Critical"))))))</x:f>
        <x:v>High</x:v>
      </x:c>
      <x:c r="L41" s="55" t="str">
        <x:f>IF($K41="Critical","P0",IF($K41="High","P1",IF($K41="Medium","P2",IF($K41="Low","P3",IF($K41="Improvement","P3","Monitor")))))</x:f>
        <x:v>P1</x:v>
      </x:c>
      <x:c r="M41" s="55" t="str">
        <x:v>Legal + IT + Process Owners</x:v>
      </x:c>
      <x:c r="N41" s="66" t="n">
        <x:f>IF($E41="Not Applicable","",$G41/5)</x:f>
        <x:v>0.2</x:v>
      </x:c>
      <x:c r="O41" s="55" t="str">
        <x:v>Propagate withdrawal to internal systems and vendors.</x:v>
      </x:c>
      <x:c r="P41" s="55" t="str">
        <x:v>Consent Register</x:v>
      </x:c>
      <x:c r="Q41" s="55" t="str">
        <x:v>Withdrawal SOP / test record</x:v>
      </x:c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5" t="str">
        <x:v>R1.1</x:v>
      </x:c>
      <x:c r="B42" s="55" t="str">
        <x:v>D07</x:v>
      </x:c>
      <x:c r="C42" s="55" t="str">
        <x:v>Data Principal rights</x:v>
      </x:c>
      <x:c r="D42" s="55" t="str">
        <x:v>Has the organisation defined how Data Principals can request access to information about their personal data?</x:v>
      </x:c>
      <x:c r="E42" s="55" t="str">
        <x:v>Applicable</x:v>
      </x:c>
      <x:c r="F42" s="55" t="n">
        <x:v>1</x:v>
      </x:c>
      <x:c r="G42" s="55" t="n">
        <x:v>1</x:v>
      </x:c>
      <x:c r="H42" s="55" t="str">
        <x:v>Requested</x:v>
      </x:c>
      <x:c r="I42" s="55" t="str">
        <x:v>Yes</x:v>
      </x:c>
      <x:c r="J42" s="55" t="n">
        <x:f>IF($E42="Not Applicable","",IF($I42="No",MIN($F42,$G42,3),MIN($F42,$G42)))</x:f>
        <x:v>1</x:v>
      </x:c>
      <x:c r="K42" s="55" t="str">
        <x:f>IF($E42="Not Applicable","N/A",IF($J42&gt;=5,"No Gap",IF($J42&gt;=4,"Improvement",IF($J42&gt;=3,"Low",IF($J42&gt;=2,"Medium",IF($J42&gt;=1,"High","Critical"))))))</x:f>
        <x:v>High</x:v>
      </x:c>
      <x:c r="L42" s="55" t="str">
        <x:f>IF($K42="Critical","P0",IF($K42="High","P1",IF($K42="Medium","P2",IF($K42="Low","P3",IF($K42="Improvement","P3","Monitor")))))</x:f>
        <x:v>P1</x:v>
      </x:c>
      <x:c r="M42" s="55" t="str">
        <x:v>Legal + Registrar / Customer Ops</x:v>
      </x:c>
      <x:c r="N42" s="66" t="n">
        <x:f>IF($E42="Not Applicable","",$G42/5)</x:f>
        <x:v>0.2</x:v>
      </x:c>
      <x:c r="O42" s="55" t="str">
        <x:v>Create rights intake and handling workflow.</x:v>
      </x:c>
      <x:c r="P42" s="55" t="str">
        <x:v>Data Principal Rights Workflow</x:v>
      </x:c>
      <x:c r="Q42" s="55" t="str">
        <x:v>Rights request SOP</x:v>
      </x:c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5" t="str">
        <x:v>R1.2</x:v>
      </x:c>
      <x:c r="B43" s="55" t="str">
        <x:v>D07</x:v>
      </x:c>
      <x:c r="C43" s="55" t="str">
        <x:v>Data Principal rights</x:v>
      </x:c>
      <x:c r="D43" s="55" t="str">
        <x:v>Is there a workflow for correction and updating of personal data?</x:v>
      </x:c>
      <x:c r="E43" s="55" t="str">
        <x:v>Applicable</x:v>
      </x:c>
      <x:c r="F43" s="55" t="n">
        <x:v>1</x:v>
      </x:c>
      <x:c r="G43" s="55" t="n">
        <x:v>1</x:v>
      </x:c>
      <x:c r="H43" s="55" t="str">
        <x:v>Requested</x:v>
      </x:c>
      <x:c r="I43" s="55" t="str">
        <x:v>Yes</x:v>
      </x:c>
      <x:c r="J43" s="55" t="n">
        <x:f>IF($E43="Not Applicable","",IF($I43="No",MIN($F43,$G43,3),MIN($F43,$G43)))</x:f>
        <x:v>1</x:v>
      </x:c>
      <x:c r="K43" s="55" t="str">
        <x:f>IF($E43="Not Applicable","N/A",IF($J43&gt;=5,"No Gap",IF($J43&gt;=4,"Improvement",IF($J43&gt;=3,"Low",IF($J43&gt;=2,"Medium",IF($J43&gt;=1,"High","Critical"))))))</x:f>
        <x:v>High</x:v>
      </x:c>
      <x:c r="L43" s="55" t="str">
        <x:f>IF($K43="Critical","P0",IF($K43="High","P1",IF($K43="Medium","P2",IF($K43="Low","P3",IF($K43="Improvement","P3","Monitor")))))</x:f>
        <x:v>P1</x:v>
      </x:c>
      <x:c r="M43" s="55" t="str">
        <x:v>Legal + Registrar / Customer Ops</x:v>
      </x:c>
      <x:c r="N43" s="66" t="n">
        <x:f>IF($E43="Not Applicable","",$G43/5)</x:f>
        <x:v>0.2</x:v>
      </x:c>
      <x:c r="O43" s="55" t="str">
        <x:v>Define correction workflow with downstream updates.</x:v>
      </x:c>
      <x:c r="P43" s="55" t="str">
        <x:v>Data Principal Rights Workflow</x:v>
      </x:c>
      <x:c r="Q43" s="55" t="str">
        <x:v>Correction workflow</x:v>
      </x:c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5" t="str">
        <x:v>R1.3</x:v>
      </x:c>
      <x:c r="B44" s="55" t="str">
        <x:v>D07</x:v>
      </x:c>
      <x:c r="C44" s="55" t="str">
        <x:v>Data Principal rights</x:v>
      </x:c>
      <x:c r="D44" s="55" t="str">
        <x:v>Is there a workflow for erasure requests with legal-retention checks?</x:v>
      </x:c>
      <x:c r="E44" s="55" t="str">
        <x:v>Applicable</x:v>
      </x:c>
      <x:c r="F44" s="55" t="n">
        <x:v>1</x:v>
      </x:c>
      <x:c r="G44" s="55" t="n">
        <x:v>1</x:v>
      </x:c>
      <x:c r="H44" s="55" t="str">
        <x:v>Requested</x:v>
      </x:c>
      <x:c r="I44" s="55" t="str">
        <x:v>Yes</x:v>
      </x:c>
      <x:c r="J44" s="55" t="n">
        <x:f>IF($E44="Not Applicable","",IF($I44="No",MIN($F44,$G44,3),MIN($F44,$G44)))</x:f>
        <x:v>1</x:v>
      </x:c>
      <x:c r="K44" s="55" t="str">
        <x:f>IF($E44="Not Applicable","N/A",IF($J44&gt;=5,"No Gap",IF($J44&gt;=4,"Improvement",IF($J44&gt;=3,"Low",IF($J44&gt;=2,"Medium",IF($J44&gt;=1,"High","Critical"))))))</x:f>
        <x:v>High</x:v>
      </x:c>
      <x:c r="L44" s="55" t="str">
        <x:f>IF($K44="Critical","P0",IF($K44="High","P1",IF($K44="Medium","P2",IF($K44="Low","P3",IF($K44="Improvement","P3","Monitor")))))</x:f>
        <x:v>P1</x:v>
      </x:c>
      <x:c r="M44" s="55" t="str">
        <x:v>Legal + Registrar / Customer Ops</x:v>
      </x:c>
      <x:c r="N44" s="66" t="n">
        <x:f>IF($E44="Not Applicable","",$G44/5)</x:f>
        <x:v>0.2</x:v>
      </x:c>
      <x:c r="O44" s="55" t="str">
        <x:v>Create erasure workflow with retention exceptions.</x:v>
      </x:c>
      <x:c r="P44" s="55" t="str">
        <x:v>Data Principal Rights Workflow</x:v>
      </x:c>
      <x:c r="Q44" s="55" t="str">
        <x:v>Erasure SOP</x:v>
      </x:c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5" t="str">
        <x:v>R1.4</x:v>
      </x:c>
      <x:c r="B45" s="55" t="str">
        <x:v>D07</x:v>
      </x:c>
      <x:c r="C45" s="55" t="str">
        <x:v>Data Principal rights</x:v>
      </x:c>
      <x:c r="D45" s="55" t="str">
        <x:v>Is nomination supported where applicable?</x:v>
      </x:c>
      <x:c r="E45" s="55" t="str">
        <x:v>Applicable</x:v>
      </x:c>
      <x:c r="F45" s="55" t="n">
        <x:v>1</x:v>
      </x:c>
      <x:c r="G45" s="55" t="n">
        <x:v>1</x:v>
      </x:c>
      <x:c r="H45" s="55" t="str">
        <x:v>Requested</x:v>
      </x:c>
      <x:c r="I45" s="55" t="str">
        <x:v>Yes</x:v>
      </x:c>
      <x:c r="J45" s="55" t="n">
        <x:f>IF($E45="Not Applicable","",IF($I45="No",MIN($F45,$G45,3),MIN($F45,$G45)))</x:f>
        <x:v>1</x:v>
      </x:c>
      <x:c r="K45" s="55" t="str">
        <x:f>IF($E45="Not Applicable","N/A",IF($J45&gt;=5,"No Gap",IF($J45&gt;=4,"Improvement",IF($J45&gt;=3,"Low",IF($J45&gt;=2,"Medium",IF($J45&gt;=1,"High","Critical"))))))</x:f>
        <x:v>High</x:v>
      </x:c>
      <x:c r="L45" s="55" t="str">
        <x:f>IF($K45="Critical","P0",IF($K45="High","P1",IF($K45="Medium","P2",IF($K45="Low","P3",IF($K45="Improvement","P3","Monitor")))))</x:f>
        <x:v>P1</x:v>
      </x:c>
      <x:c r="M45" s="55" t="str">
        <x:v>Legal + Registrar / Customer Ops</x:v>
      </x:c>
      <x:c r="N45" s="66" t="n">
        <x:f>IF($E45="Not Applicable","",$G45/5)</x:f>
        <x:v>0.2</x:v>
      </x:c>
      <x:c r="O45" s="55" t="str">
        <x:v>Add nomination request and recording process.</x:v>
      </x:c>
      <x:c r="P45" s="55" t="str">
        <x:v>Data Principal Rights Workflow</x:v>
      </x:c>
      <x:c r="Q45" s="55" t="str">
        <x:v>Nomination workflow</x:v>
      </x:c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5" t="str">
        <x:v>R1.5</x:v>
      </x:c>
      <x:c r="B46" s="55" t="str">
        <x:v>D07</x:v>
      </x:c>
      <x:c r="C46" s="55" t="str">
        <x:v>Data Principal rights</x:v>
      </x:c>
      <x:c r="D46" s="55" t="str">
        <x:v>Are rights requests tracked with status, owner, due date, response and evidence?</x:v>
      </x:c>
      <x:c r="E46" s="55" t="str">
        <x:v>Applicable</x:v>
      </x:c>
      <x:c r="F46" s="55" t="n">
        <x:v>1</x:v>
      </x:c>
      <x:c r="G46" s="55" t="n">
        <x:v>1</x:v>
      </x:c>
      <x:c r="H46" s="55" t="str">
        <x:v>Requested</x:v>
      </x:c>
      <x:c r="I46" s="55" t="str">
        <x:v>Yes</x:v>
      </x:c>
      <x:c r="J46" s="55" t="n">
        <x:f>IF($E46="Not Applicable","",IF($I46="No",MIN($F46,$G46,3),MIN($F46,$G46)))</x:f>
        <x:v>1</x:v>
      </x:c>
      <x:c r="K46" s="55" t="str">
        <x:f>IF($E46="Not Applicable","N/A",IF($J46&gt;=5,"No Gap",IF($J46&gt;=4,"Improvement",IF($J46&gt;=3,"Low",IF($J46&gt;=2,"Medium",IF($J46&gt;=1,"High","Critical"))))))</x:f>
        <x:v>High</x:v>
      </x:c>
      <x:c r="L46" s="55" t="str">
        <x:f>IF($K46="Critical","P0",IF($K46="High","P1",IF($K46="Medium","P2",IF($K46="Low","P3",IF($K46="Improvement","P3","Monitor")))))</x:f>
        <x:v>P1</x:v>
      </x:c>
      <x:c r="M46" s="55" t="str">
        <x:v>Legal + Registrar / Customer Ops</x:v>
      </x:c>
      <x:c r="N46" s="66" t="n">
        <x:f>IF($E46="Not Applicable","",$G46/5)</x:f>
        <x:v>0.2</x:v>
      </x:c>
      <x:c r="O46" s="55" t="str">
        <x:v>Implement rights request tracker.</x:v>
      </x:c>
      <x:c r="P46" s="55" t="str">
        <x:v>Data Principal Rights Workflow</x:v>
      </x:c>
      <x:c r="Q46" s="55" t="str">
        <x:v>Rights tracker</x:v>
      </x:c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5" t="str">
        <x:v>R1.6</x:v>
      </x:c>
      <x:c r="B47" s="55" t="str">
        <x:v>D07</x:v>
      </x:c>
      <x:c r="C47" s="55" t="str">
        <x:v>Data Principal rights</x:v>
      </x:c>
      <x:c r="D47" s="55" t="str">
        <x:v>Are identity verification steps defined before acting on rights requests?</x:v>
      </x:c>
      <x:c r="E47" s="55" t="str">
        <x:v>Applicable</x:v>
      </x:c>
      <x:c r="F47" s="55" t="n">
        <x:v>1</x:v>
      </x:c>
      <x:c r="G47" s="55" t="n">
        <x:v>1</x:v>
      </x:c>
      <x:c r="H47" s="55" t="str">
        <x:v>Requested</x:v>
      </x:c>
      <x:c r="I47" s="55" t="str">
        <x:v>Yes</x:v>
      </x:c>
      <x:c r="J47" s="55" t="n">
        <x:f>IF($E47="Not Applicable","",IF($I47="No",MIN($F47,$G47,3),MIN($F47,$G47)))</x:f>
        <x:v>1</x:v>
      </x:c>
      <x:c r="K47" s="55" t="str">
        <x:f>IF($E47="Not Applicable","N/A",IF($J47&gt;=5,"No Gap",IF($J47&gt;=4,"Improvement",IF($J47&gt;=3,"Low",IF($J47&gt;=2,"Medium",IF($J47&gt;=1,"High","Critical"))))))</x:f>
        <x:v>High</x:v>
      </x:c>
      <x:c r="L47" s="55" t="str">
        <x:f>IF($K47="Critical","P0",IF($K47="High","P1",IF($K47="Medium","P2",IF($K47="Low","P3",IF($K47="Improvement","P3","Monitor")))))</x:f>
        <x:v>P1</x:v>
      </x:c>
      <x:c r="M47" s="55" t="str">
        <x:v>Legal + Registrar / Customer Ops</x:v>
      </x:c>
      <x:c r="N47" s="66" t="n">
        <x:f>IF($E47="Not Applicable","",$G47/5)</x:f>
        <x:v>0.2</x:v>
      </x:c>
      <x:c r="O47" s="55" t="str">
        <x:v>Add identity verification before disclosure or changes.</x:v>
      </x:c>
      <x:c r="P47" s="55" t="str">
        <x:v>Data Principal Rights Workflow</x:v>
      </x:c>
      <x:c r="Q47" s="55" t="str">
        <x:v>Verification SOP</x:v>
      </x:c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5" t="str">
        <x:v>GR1.1</x:v>
      </x:c>
      <x:c r="B48" s="55" t="str">
        <x:v>D08</x:v>
      </x:c>
      <x:c r="C48" s="55" t="str">
        <x:v>Grievance redressal and contact publication</x:v>
      </x:c>
      <x:c r="D48" s="55" t="str">
        <x:v>Has the organisation published business contact information for DPDP/privacy queries?</x:v>
      </x:c>
      <x:c r="E48" s="55" t="str">
        <x:v>Applicable</x:v>
      </x:c>
      <x:c r="F48" s="55" t="n">
        <x:v>0</x:v>
      </x:c>
      <x:c r="G48" s="55" t="n">
        <x:v>0</x:v>
      </x:c>
      <x:c r="H48" s="55" t="str">
        <x:v>Not Provided</x:v>
      </x:c>
      <x:c r="I48" s="55" t="str">
        <x:v>Yes</x:v>
      </x:c>
      <x:c r="J48" s="55" t="n">
        <x:f>IF($E48="Not Applicable","",IF($I48="No",MIN($F48,$G48,3),MIN($F48,$G48)))</x:f>
        <x:v>0</x:v>
      </x:c>
      <x:c r="K48" s="55" t="str">
        <x:f>IF($E48="Not Applicable","N/A",IF($J48&gt;=5,"No Gap",IF($J48&gt;=4,"Improvement",IF($J48&gt;=3,"Low",IF($J48&gt;=2,"Medium",IF($J48&gt;=1,"High","Critical"))))))</x:f>
        <x:v>Critical</x:v>
      </x:c>
      <x:c r="L48" s="55" t="str">
        <x:f>IF($K48="Critical","P0",IF($K48="High","P1",IF($K48="Medium","P2",IF($K48="Low","P3",IF($K48="Improvement","P3","Monitor")))))</x:f>
        <x:v>P0</x:v>
      </x:c>
      <x:c r="M48" s="55" t="str">
        <x:v>Legal + DPDP Owner</x:v>
      </x:c>
      <x:c r="N48" s="66" t="n">
        <x:f>IF($E48="Not Applicable","",$G48/5)</x:f>
        <x:v>0</x:v>
      </x:c>
      <x:c r="O48" s="55" t="str">
        <x:v>Publish privacy contact on website/app/portal.</x:v>
      </x:c>
      <x:c r="P48" s="55" t="str">
        <x:v>Grievance Tracker</x:v>
      </x:c>
      <x:c r="Q48" s="55" t="str">
        <x:v>Website/app screenshot</x:v>
      </x:c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5" t="str">
        <x:v>GR1.2</x:v>
      </x:c>
      <x:c r="B49" s="55" t="str">
        <x:v>D08</x:v>
      </x:c>
      <x:c r="C49" s="55" t="str">
        <x:v>Grievance redressal and contact publication</x:v>
      </x:c>
      <x:c r="D49" s="55" t="str">
        <x:v>Is there a grievance redressal mechanism specifically covering personal data complaints?</x:v>
      </x:c>
      <x:c r="E49" s="55" t="str">
        <x:v>Applicable</x:v>
      </x:c>
      <x:c r="F49" s="55" t="n">
        <x:v>0</x:v>
      </x:c>
      <x:c r="G49" s="55" t="n">
        <x:v>0</x:v>
      </x:c>
      <x:c r="H49" s="55" t="str">
        <x:v>Not Provided</x:v>
      </x:c>
      <x:c r="I49" s="55" t="str">
        <x:v>Yes</x:v>
      </x:c>
      <x:c r="J49" s="55" t="n">
        <x:f>IF($E49="Not Applicable","",IF($I49="No",MIN($F49,$G49,3),MIN($F49,$G49)))</x:f>
        <x:v>0</x:v>
      </x:c>
      <x:c r="K49" s="55" t="str">
        <x:f>IF($E49="Not Applicable","N/A",IF($J49&gt;=5,"No Gap",IF($J49&gt;=4,"Improvement",IF($J49&gt;=3,"Low",IF($J49&gt;=2,"Medium",IF($J49&gt;=1,"High","Critical"))))))</x:f>
        <x:v>Critical</x:v>
      </x:c>
      <x:c r="L49" s="55" t="str">
        <x:f>IF($K49="Critical","P0",IF($K49="High","P1",IF($K49="Medium","P2",IF($K49="Low","P3",IF($K49="Improvement","P3","Monitor")))))</x:f>
        <x:v>P0</x:v>
      </x:c>
      <x:c r="M49" s="55" t="str">
        <x:v>Legal + DPDP Owner</x:v>
      </x:c>
      <x:c r="N49" s="66" t="n">
        <x:f>IF($E49="Not Applicable","",$G49/5)</x:f>
        <x:v>0</x:v>
      </x:c>
      <x:c r="O49" s="55" t="str">
        <x:v>Create DPDP grievance mechanism.</x:v>
      </x:c>
      <x:c r="P49" s="55" t="str">
        <x:v>Grievance Tracker</x:v>
      </x:c>
      <x:c r="Q49" s="55" t="str">
        <x:v>Grievance SOP</x:v>
      </x:c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5" t="str">
        <x:v>GR1.3</x:v>
      </x:c>
      <x:c r="B50" s="55" t="str">
        <x:v>D08</x:v>
      </x:c>
      <x:c r="C50" s="55" t="str">
        <x:v>Grievance redressal and contact publication</x:v>
      </x:c>
      <x:c r="D50" s="55" t="str">
        <x:v>Is the grievance channel visible in website, app, portal and privacy communications?</x:v>
      </x:c>
      <x:c r="E50" s="55" t="str">
        <x:v>Applicable</x:v>
      </x:c>
      <x:c r="F50" s="55" t="n">
        <x:v>1</x:v>
      </x:c>
      <x:c r="G50" s="55" t="n">
        <x:v>1</x:v>
      </x:c>
      <x:c r="H50" s="55" t="str">
        <x:v>Requested</x:v>
      </x:c>
      <x:c r="I50" s="55" t="str">
        <x:v>Yes</x:v>
      </x:c>
      <x:c r="J50" s="55" t="n">
        <x:f>IF($E50="Not Applicable","",IF($I50="No",MIN($F50,$G50,3),MIN($F50,$G50)))</x:f>
        <x:v>1</x:v>
      </x:c>
      <x:c r="K50" s="55" t="str">
        <x:f>IF($E50="Not Applicable","N/A",IF($J50&gt;=5,"No Gap",IF($J50&gt;=4,"Improvement",IF($J50&gt;=3,"Low",IF($J50&gt;=2,"Medium",IF($J50&gt;=1,"High","Critical"))))))</x:f>
        <x:v>High</x:v>
      </x:c>
      <x:c r="L50" s="55" t="str">
        <x:f>IF($K50="Critical","P0",IF($K50="High","P1",IF($K50="Medium","P2",IF($K50="Low","P3",IF($K50="Improvement","P3","Monitor")))))</x:f>
        <x:v>P1</x:v>
      </x:c>
      <x:c r="M50" s="55" t="str">
        <x:v>Legal + DPDP Owner</x:v>
      </x:c>
      <x:c r="N50" s="66" t="n">
        <x:f>IF($E50="Not Applicable","",$G50/5)</x:f>
        <x:v>0.2</x:v>
      </x:c>
      <x:c r="O50" s="55" t="str">
        <x:v>Make grievance channel visible wherever personal data is collected.</x:v>
      </x:c>
      <x:c r="P50" s="55" t="str">
        <x:v>Grievance Tracker</x:v>
      </x:c>
      <x:c r="Q50" s="55" t="str">
        <x:v>Screenshots / notice links</x:v>
      </x:c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5" t="str">
        <x:v>GR1.4</x:v>
      </x:c>
      <x:c r="B51" s="55" t="str">
        <x:v>D08</x:v>
      </x:c>
      <x:c r="C51" s="55" t="str">
        <x:v>Grievance redressal and contact publication</x:v>
      </x:c>
      <x:c r="D51" s="55" t="str">
        <x:v>Are grievances tracked with acknowledgement, owner, timeline, closure and evidence?</x:v>
      </x:c>
      <x:c r="E51" s="55" t="str">
        <x:v>Applicable</x:v>
      </x:c>
      <x:c r="F51" s="55" t="n">
        <x:v>1</x:v>
      </x:c>
      <x:c r="G51" s="55" t="n">
        <x:v>1</x:v>
      </x:c>
      <x:c r="H51" s="55" t="str">
        <x:v>Requested</x:v>
      </x:c>
      <x:c r="I51" s="55" t="str">
        <x:v>Yes</x:v>
      </x:c>
      <x:c r="J51" s="55" t="n">
        <x:f>IF($E51="Not Applicable","",IF($I51="No",MIN($F51,$G51,3),MIN($F51,$G51)))</x:f>
        <x:v>1</x:v>
      </x:c>
      <x:c r="K51" s="55" t="str">
        <x:f>IF($E51="Not Applicable","N/A",IF($J51&gt;=5,"No Gap",IF($J51&gt;=4,"Improvement",IF($J51&gt;=3,"Low",IF($J51&gt;=2,"Medium",IF($J51&gt;=1,"High","Critical"))))))</x:f>
        <x:v>High</x:v>
      </x:c>
      <x:c r="L51" s="55" t="str">
        <x:f>IF($K51="Critical","P0",IF($K51="High","P1",IF($K51="Medium","P2",IF($K51="Low","P3",IF($K51="Improvement","P3","Monitor")))))</x:f>
        <x:v>P1</x:v>
      </x:c>
      <x:c r="M51" s="55" t="str">
        <x:v>Legal + DPDP Owner</x:v>
      </x:c>
      <x:c r="N51" s="66" t="n">
        <x:f>IF($E51="Not Applicable","",$G51/5)</x:f>
        <x:v>0.2</x:v>
      </x:c>
      <x:c r="O51" s="55" t="str">
        <x:v>Set up grievance tracker and closure evidence.</x:v>
      </x:c>
      <x:c r="P51" s="55" t="str">
        <x:v>Grievance Tracker</x:v>
      </x:c>
      <x:c r="Q51" s="55" t="str">
        <x:v>Grievance tracker</x:v>
      </x:c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5" t="str">
        <x:v>GR1.5</x:v>
      </x:c>
      <x:c r="B52" s="55" t="str">
        <x:v>D08</x:v>
      </x:c>
      <x:c r="C52" s="55" t="str">
        <x:v>Grievance redressal and contact publication</x:v>
      </x:c>
      <x:c r="D52" s="55" t="str">
        <x:v>Are unresolved or high-risk grievances escalated to senior governance?</x:v>
      </x:c>
      <x:c r="E52" s="55" t="str">
        <x:v>Applicable</x:v>
      </x:c>
      <x:c r="F52" s="55" t="n">
        <x:v>1</x:v>
      </x:c>
      <x:c r="G52" s="55" t="n">
        <x:v>1</x:v>
      </x:c>
      <x:c r="H52" s="55" t="str">
        <x:v>Requested</x:v>
      </x:c>
      <x:c r="I52" s="55" t="str">
        <x:v>Yes</x:v>
      </x:c>
      <x:c r="J52" s="55" t="n">
        <x:f>IF($E52="Not Applicable","",IF($I52="No",MIN($F52,$G52,3),MIN($F52,$G52)))</x:f>
        <x:v>1</x:v>
      </x:c>
      <x:c r="K52" s="55" t="str">
        <x:f>IF($E52="Not Applicable","N/A",IF($J52&gt;=5,"No Gap",IF($J52&gt;=4,"Improvement",IF($J52&gt;=3,"Low",IF($J52&gt;=2,"Medium",IF($J52&gt;=1,"High","Critical"))))))</x:f>
        <x:v>High</x:v>
      </x:c>
      <x:c r="L52" s="55" t="str">
        <x:f>IF($K52="Critical","P0",IF($K52="High","P1",IF($K52="Medium","P2",IF($K52="Low","P3",IF($K52="Improvement","P3","Monitor")))))</x:f>
        <x:v>P1</x:v>
      </x:c>
      <x:c r="M52" s="55" t="str">
        <x:v>Legal + DPDP Owner</x:v>
      </x:c>
      <x:c r="N52" s="66" t="n">
        <x:f>IF($E52="Not Applicable","",$G52/5)</x:f>
        <x:v>0.2</x:v>
      </x:c>
      <x:c r="O52" s="55" t="str">
        <x:v>Define escalation path for unresolved/high-risk grievances.</x:v>
      </x:c>
      <x:c r="P52" s="55" t="str">
        <x:v>Grievance Tracker</x:v>
      </x:c>
      <x:c r="Q52" s="55" t="str">
        <x:v>Escalation matrix</x:v>
      </x:c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5" t="str">
        <x:v>RE1.1</x:v>
      </x:c>
      <x:c r="B53" s="55" t="str">
        <x:v>D09</x:v>
      </x:c>
      <x:c r="C53" s="55" t="str">
        <x:v>Retention, erasure and archival</x:v>
      </x:c>
      <x:c r="D53" s="55" t="str">
        <x:v>Has the organisation defined retention periods for each personal data category?</x:v>
      </x:c>
      <x:c r="E53" s="55" t="str">
        <x:v>Applicable</x:v>
      </x:c>
      <x:c r="F53" s="55" t="n">
        <x:v>1</x:v>
      </x:c>
      <x:c r="G53" s="55" t="n">
        <x:v>1</x:v>
      </x:c>
      <x:c r="H53" s="55" t="str">
        <x:v>Requested</x:v>
      </x:c>
      <x:c r="I53" s="55" t="str">
        <x:v>Yes</x:v>
      </x:c>
      <x:c r="J53" s="55" t="n">
        <x:f>IF($E53="Not Applicable","",IF($I53="No",MIN($F53,$G53,3),MIN($F53,$G53)))</x:f>
        <x:v>1</x:v>
      </x:c>
      <x:c r="K53" s="55" t="str">
        <x:f>IF($E53="Not Applicable","N/A",IF($J53&gt;=5,"No Gap",IF($J53&gt;=4,"Improvement",IF($J53&gt;=3,"Low",IF($J53&gt;=2,"Medium",IF($J53&gt;=1,"High","Critical"))))))</x:f>
        <x:v>High</x:v>
      </x:c>
      <x:c r="L53" s="55" t="str">
        <x:f>IF($K53="Critical","P0",IF($K53="High","P1",IF($K53="Medium","P2",IF($K53="Low","P3",IF($K53="Improvement","P3","Monitor")))))</x:f>
        <x:v>P1</x:v>
      </x:c>
      <x:c r="M53" s="55" t="str">
        <x:v>Legal + Records Owners + IT</x:v>
      </x:c>
      <x:c r="N53" s="66" t="n">
        <x:f>IF($E53="Not Applicable","",$G53/5)</x:f>
        <x:v>0.2</x:v>
      </x:c>
      <x:c r="O53" s="55" t="str">
        <x:v>Create category-wise retention schedule.</x:v>
      </x:c>
      <x:c r="P53" s="55" t="str">
        <x:v>Retention Register</x:v>
      </x:c>
      <x:c r="Q53" s="55" t="str">
        <x:v>Retention schedule</x:v>
      </x:c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5" t="str">
        <x:v>RE1.2</x:v>
      </x:c>
      <x:c r="B54" s="55" t="str">
        <x:v>D09</x:v>
      </x:c>
      <x:c r="C54" s="55" t="str">
        <x:v>Retention, erasure and archival</x:v>
      </x:c>
      <x:c r="D54" s="55" t="str">
        <x:v>Are legal, regulatory, academic, employment, tax and audit retention requirements considered?</x:v>
      </x:c>
      <x:c r="E54" s="55" t="str">
        <x:v>Applicable</x:v>
      </x:c>
      <x:c r="F54" s="55" t="n">
        <x:v>1</x:v>
      </x:c>
      <x:c r="G54" s="55" t="n">
        <x:v>1</x:v>
      </x:c>
      <x:c r="H54" s="55" t="str">
        <x:v>Requested</x:v>
      </x:c>
      <x:c r="I54" s="55" t="str">
        <x:v>Yes</x:v>
      </x:c>
      <x:c r="J54" s="55" t="n">
        <x:f>IF($E54="Not Applicable","",IF($I54="No",MIN($F54,$G54,3),MIN($F54,$G54)))</x:f>
        <x:v>1</x:v>
      </x:c>
      <x:c r="K54" s="55" t="str">
        <x:f>IF($E54="Not Applicable","N/A",IF($J54&gt;=5,"No Gap",IF($J54&gt;=4,"Improvement",IF($J54&gt;=3,"Low",IF($J54&gt;=2,"Medium",IF($J54&gt;=1,"High","Critical"))))))</x:f>
        <x:v>High</x:v>
      </x:c>
      <x:c r="L54" s="55" t="str">
        <x:f>IF($K54="Critical","P0",IF($K54="High","P1",IF($K54="Medium","P2",IF($K54="Low","P3",IF($K54="Improvement","P3","Monitor")))))</x:f>
        <x:v>P1</x:v>
      </x:c>
      <x:c r="M54" s="55" t="str">
        <x:v>Legal + Records Owners + IT</x:v>
      </x:c>
      <x:c r="N54" s="66" t="n">
        <x:f>IF($E54="Not Applicable","",$G54/5)</x:f>
        <x:v>0.2</x:v>
      </x:c>
      <x:c r="O54" s="55" t="str">
        <x:v>Map retention to applicable legal/operational basis.</x:v>
      </x:c>
      <x:c r="P54" s="55" t="str">
        <x:v>Retention Register</x:v>
      </x:c>
      <x:c r="Q54" s="55" t="str">
        <x:v>Legal retention mapping</x:v>
      </x:c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5" t="str">
        <x:v>RE1.3</x:v>
      </x:c>
      <x:c r="B55" s="55" t="str">
        <x:v>D09</x:v>
      </x:c>
      <x:c r="C55" s="55" t="str">
        <x:v>Retention, erasure and archival</x:v>
      </x:c>
      <x:c r="D55" s="55" t="str">
        <x:v>Is there a process to erase or anonymise personal data when purpose is over?</x:v>
      </x:c>
      <x:c r="E55" s="55" t="str">
        <x:v>Applicable</x:v>
      </x:c>
      <x:c r="F55" s="55" t="n">
        <x:v>1</x:v>
      </x:c>
      <x:c r="G55" s="55" t="n">
        <x:v>1</x:v>
      </x:c>
      <x:c r="H55" s="55" t="str">
        <x:v>Requested</x:v>
      </x:c>
      <x:c r="I55" s="55" t="str">
        <x:v>Yes</x:v>
      </x:c>
      <x:c r="J55" s="55" t="n">
        <x:f>IF($E55="Not Applicable","",IF($I55="No",MIN($F55,$G55,3),MIN($F55,$G55)))</x:f>
        <x:v>1</x:v>
      </x:c>
      <x:c r="K55" s="55" t="str">
        <x:f>IF($E55="Not Applicable","N/A",IF($J55&gt;=5,"No Gap",IF($J55&gt;=4,"Improvement",IF($J55&gt;=3,"Low",IF($J55&gt;=2,"Medium",IF($J55&gt;=1,"High","Critical"))))))</x:f>
        <x:v>High</x:v>
      </x:c>
      <x:c r="L55" s="55" t="str">
        <x:f>IF($K55="Critical","P0",IF($K55="High","P1",IF($K55="Medium","P2",IF($K55="Low","P3",IF($K55="Improvement","P3","Monitor")))))</x:f>
        <x:v>P1</x:v>
      </x:c>
      <x:c r="M55" s="55" t="str">
        <x:v>Legal + Records Owners + IT</x:v>
      </x:c>
      <x:c r="N55" s="66" t="n">
        <x:f>IF($E55="Not Applicable","",$G55/5)</x:f>
        <x:v>0.2</x:v>
      </x:c>
      <x:c r="O55" s="55" t="str">
        <x:v>Define purpose-completion erasure/anonymisation process.</x:v>
      </x:c>
      <x:c r="P55" s="55" t="str">
        <x:v>Retention Register</x:v>
      </x:c>
      <x:c r="Q55" s="55" t="str">
        <x:v>Erasure/anonymisation SOP</x:v>
      </x:c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5" t="str">
        <x:v>RE1.4</x:v>
      </x:c>
      <x:c r="B56" s="55" t="str">
        <x:v>D09</x:v>
      </x:c>
      <x:c r="C56" s="55" t="str">
        <x:v>Retention, erasure and archival</x:v>
      </x:c>
      <x:c r="D56" s="55" t="str">
        <x:v>Are processors/vendors required to erase data when instructed?</x:v>
      </x:c>
      <x:c r="E56" s="55" t="str">
        <x:v>Applicable</x:v>
      </x:c>
      <x:c r="F56" s="55" t="n">
        <x:v>1</x:v>
      </x:c>
      <x:c r="G56" s="55" t="n">
        <x:v>1</x:v>
      </x:c>
      <x:c r="H56" s="55" t="str">
        <x:v>Requested</x:v>
      </x:c>
      <x:c r="I56" s="55" t="str">
        <x:v>Yes</x:v>
      </x:c>
      <x:c r="J56" s="55" t="n">
        <x:f>IF($E56="Not Applicable","",IF($I56="No",MIN($F56,$G56,3),MIN($F56,$G56)))</x:f>
        <x:v>1</x:v>
      </x:c>
      <x:c r="K56" s="55" t="str">
        <x:f>IF($E56="Not Applicable","N/A",IF($J56&gt;=5,"No Gap",IF($J56&gt;=4,"Improvement",IF($J56&gt;=3,"Low",IF($J56&gt;=2,"Medium",IF($J56&gt;=1,"High","Critical"))))))</x:f>
        <x:v>High</x:v>
      </x:c>
      <x:c r="L56" s="55" t="str">
        <x:f>IF($K56="Critical","P0",IF($K56="High","P1",IF($K56="Medium","P2",IF($K56="Low","P3",IF($K56="Improvement","P3","Monitor")))))</x:f>
        <x:v>P1</x:v>
      </x:c>
      <x:c r="M56" s="55" t="str">
        <x:v>Legal + Records Owners + IT</x:v>
      </x:c>
      <x:c r="N56" s="66" t="n">
        <x:f>IF($E56="Not Applicable","",$G56/5)</x:f>
        <x:v>0.2</x:v>
      </x:c>
      <x:c r="O56" s="55" t="str">
        <x:v>Add vendor deletion obligations and confirmation process.</x:v>
      </x:c>
      <x:c r="P56" s="55" t="str">
        <x:v>Retention Register</x:v>
      </x:c>
      <x:c r="Q56" s="55" t="str">
        <x:v>Vendor deletion clause / certificate</x:v>
      </x:c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5" t="str">
        <x:v>RE1.5</x:v>
      </x:c>
      <x:c r="B57" s="55" t="str">
        <x:v>D09</x:v>
      </x:c>
      <x:c r="C57" s="55" t="str">
        <x:v>Retention, erasure and archival</x:v>
      </x:c>
      <x:c r="D57" s="55" t="str">
        <x:v>Are logs and processing records retained for security and breach investigation as required?</x:v>
      </x:c>
      <x:c r="E57" s="55" t="str">
        <x:v>Applicable</x:v>
      </x:c>
      <x:c r="F57" s="55" t="n">
        <x:v>1</x:v>
      </x:c>
      <x:c r="G57" s="55" t="n">
        <x:v>1</x:v>
      </x:c>
      <x:c r="H57" s="55" t="str">
        <x:v>Requested</x:v>
      </x:c>
      <x:c r="I57" s="55" t="str">
        <x:v>Yes</x:v>
      </x:c>
      <x:c r="J57" s="55" t="n">
        <x:f>IF($E57="Not Applicable","",IF($I57="No",MIN($F57,$G57,3),MIN($F57,$G57)))</x:f>
        <x:v>1</x:v>
      </x:c>
      <x:c r="K57" s="55" t="str">
        <x:f>IF($E57="Not Applicable","N/A",IF($J57&gt;=5,"No Gap",IF($J57&gt;=4,"Improvement",IF($J57&gt;=3,"Low",IF($J57&gt;=2,"Medium",IF($J57&gt;=1,"High","Critical"))))))</x:f>
        <x:v>High</x:v>
      </x:c>
      <x:c r="L57" s="55" t="str">
        <x:f>IF($K57="Critical","P0",IF($K57="High","P1",IF($K57="Medium","P2",IF($K57="Low","P3",IF($K57="Improvement","P3","Monitor")))))</x:f>
        <x:v>P1</x:v>
      </x:c>
      <x:c r="M57" s="55" t="str">
        <x:v>Legal + Records Owners + IT</x:v>
      </x:c>
      <x:c r="N57" s="66" t="n">
        <x:f>IF($E57="Not Applicable","",$G57/5)</x:f>
        <x:v>0.2</x:v>
      </x:c>
      <x:c r="O57" s="55" t="str">
        <x:v>Define log retention and monitoring process.</x:v>
      </x:c>
      <x:c r="P57" s="55" t="str">
        <x:v>Retention Register</x:v>
      </x:c>
      <x:c r="Q57" s="55" t="str">
        <x:v>Log retention policy</x:v>
      </x:c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5" t="str">
        <x:v>RE1.6</x:v>
      </x:c>
      <x:c r="B58" s="55" t="str">
        <x:v>D09</x:v>
      </x:c>
      <x:c r="C58" s="55" t="str">
        <x:v>Retention, erasure and archival</x:v>
      </x:c>
      <x:c r="D58" s="55" t="str">
        <x:v>Is there periodic review of old records, inactive accounts, old leads, archived files and legacy databases?</x:v>
      </x:c>
      <x:c r="E58" s="55" t="str">
        <x:v>Applicable</x:v>
      </x:c>
      <x:c r="F58" s="55" t="n">
        <x:v>1</x:v>
      </x:c>
      <x:c r="G58" s="55" t="n">
        <x:v>1</x:v>
      </x:c>
      <x:c r="H58" s="55" t="str">
        <x:v>Requested</x:v>
      </x:c>
      <x:c r="I58" s="55" t="str">
        <x:v>Yes</x:v>
      </x:c>
      <x:c r="J58" s="55" t="n">
        <x:f>IF($E58="Not Applicable","",IF($I58="No",MIN($F58,$G58,3),MIN($F58,$G58)))</x:f>
        <x:v>1</x:v>
      </x:c>
      <x:c r="K58" s="55" t="str">
        <x:f>IF($E58="Not Applicable","N/A",IF($J58&gt;=5,"No Gap",IF($J58&gt;=4,"Improvement",IF($J58&gt;=3,"Low",IF($J58&gt;=2,"Medium",IF($J58&gt;=1,"High","Critical"))))))</x:f>
        <x:v>High</x:v>
      </x:c>
      <x:c r="L58" s="55" t="str">
        <x:f>IF($K58="Critical","P0",IF($K58="High","P1",IF($K58="Medium","P2",IF($K58="Low","P3",IF($K58="Improvement","P3","Monitor")))))</x:f>
        <x:v>P1</x:v>
      </x:c>
      <x:c r="M58" s="55" t="str">
        <x:v>Legal + Records Owners + IT</x:v>
      </x:c>
      <x:c r="N58" s="66" t="n">
        <x:f>IF($E58="Not Applicable","",$G58/5)</x:f>
        <x:v>0.2</x:v>
      </x:c>
      <x:c r="O58" s="55" t="str">
        <x:v>Run periodic stale-data review.</x:v>
      </x:c>
      <x:c r="P58" s="55" t="str">
        <x:v>Retention Register</x:v>
      </x:c>
      <x:c r="Q58" s="55" t="str">
        <x:v>Review records</x:v>
      </x:c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5" t="str">
        <x:v>A1.1</x:v>
      </x:c>
      <x:c r="B59" s="55" t="str">
        <x:v>D10</x:v>
      </x:c>
      <x:c r="C59" s="55" t="str">
        <x:v>Data accuracy and quality</x:v>
      </x:c>
      <x:c r="D59" s="55" t="str">
        <x:v>Are processes defined to keep personal data accurate, complete and updated?</x:v>
      </x:c>
      <x:c r="E59" s="55" t="str">
        <x:v>Applicable</x:v>
      </x:c>
      <x:c r="F59" s="55" t="n">
        <x:v>3</x:v>
      </x:c>
      <x:c r="G59" s="55" t="n">
        <x:v>2</x:v>
      </x:c>
      <x:c r="H59" s="55" t="str">
        <x:v>Partial</x:v>
      </x:c>
      <x:c r="I59" s="55" t="str">
        <x:v>Yes</x:v>
      </x:c>
      <x:c r="J59" s="55" t="n">
        <x:f>IF($E59="Not Applicable","",IF($I59="No",MIN($F59,$G59,3),MIN($F59,$G59)))</x:f>
        <x:v>2</x:v>
      </x:c>
      <x:c r="K59" s="55" t="str">
        <x:f>IF($E59="Not Applicable","N/A",IF($J59&gt;=5,"No Gap",IF($J59&gt;=4,"Improvement",IF($J59&gt;=3,"Low",IF($J59&gt;=2,"Medium",IF($J59&gt;=1,"High","Critical"))))))</x:f>
        <x:v>Medium</x:v>
      </x:c>
      <x:c r="L59" s="55" t="str">
        <x:f>IF($K59="Critical","P0",IF($K59="High","P1",IF($K59="Medium","P2",IF($K59="Low","P3",IF($K59="Improvement","P3","Monitor")))))</x:f>
        <x:v>P2</x:v>
      </x:c>
      <x:c r="M59" s="55" t="str">
        <x:v>Data Owners + IT</x:v>
      </x:c>
      <x:c r="N59" s="66" t="n">
        <x:f>IF($E59="Not Applicable","",$G59/5)</x:f>
        <x:v>0.4</x:v>
      </x:c>
      <x:c r="O59" s="55" t="str">
        <x:v>Create data quality and correction SOP.</x:v>
      </x:c>
      <x:c r="P59" s="55" t="str">
        <x:v>Data Quality Register</x:v>
      </x:c>
      <x:c r="Q59" s="55" t="str">
        <x:v>Data quality SOP</x:v>
      </x:c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5" t="str">
        <x:v>A1.2</x:v>
      </x:c>
      <x:c r="B60" s="55" t="str">
        <x:v>D10</x:v>
      </x:c>
      <x:c r="C60" s="55" t="str">
        <x:v>Data accuracy and quality</x:v>
      </x:c>
      <x:c r="D60" s="55" t="str">
        <x:v>Are critical fields identified where inaccurate data can affect decisions?</x:v>
      </x:c>
      <x:c r="E60" s="55" t="str">
        <x:v>Applicable</x:v>
      </x:c>
      <x:c r="F60" s="55" t="n">
        <x:v>3</x:v>
      </x:c>
      <x:c r="G60" s="55" t="n">
        <x:v>2</x:v>
      </x:c>
      <x:c r="H60" s="55" t="str">
        <x:v>Partial</x:v>
      </x:c>
      <x:c r="I60" s="55" t="str">
        <x:v>Yes</x:v>
      </x:c>
      <x:c r="J60" s="55" t="n">
        <x:f>IF($E60="Not Applicable","",IF($I60="No",MIN($F60,$G60,3),MIN($F60,$G60)))</x:f>
        <x:v>2</x:v>
      </x:c>
      <x:c r="K60" s="55" t="str">
        <x:f>IF($E60="Not Applicable","N/A",IF($J60&gt;=5,"No Gap",IF($J60&gt;=4,"Improvement",IF($J60&gt;=3,"Low",IF($J60&gt;=2,"Medium",IF($J60&gt;=1,"High","Critical"))))))</x:f>
        <x:v>Medium</x:v>
      </x:c>
      <x:c r="L60" s="55" t="str">
        <x:f>IF($K60="Critical","P0",IF($K60="High","P1",IF($K60="Medium","P2",IF($K60="Low","P3",IF($K60="Improvement","P3","Monitor")))))</x:f>
        <x:v>P2</x:v>
      </x:c>
      <x:c r="M60" s="55" t="str">
        <x:v>Data Owners + IT</x:v>
      </x:c>
      <x:c r="N60" s="66" t="n">
        <x:f>IF($E60="Not Applicable","",$G60/5)</x:f>
        <x:v>0.4</x:v>
      </x:c>
      <x:c r="O60" s="55" t="str">
        <x:v>Identify critical fields such as DOB, marks, eligibility, payroll details.</x:v>
      </x:c>
      <x:c r="P60" s="55" t="str">
        <x:v>Data Quality Register</x:v>
      </x:c>
      <x:c r="Q60" s="55" t="str">
        <x:v>Critical field register</x:v>
      </x:c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5" t="str">
        <x:v>A1.3</x:v>
      </x:c>
      <x:c r="B61" s="55" t="str">
        <x:v>D10</x:v>
      </x:c>
      <x:c r="C61" s="55" t="str">
        <x:v>Data accuracy and quality</x:v>
      </x:c>
      <x:c r="D61" s="55" t="str">
        <x:v>Are validation controls used in forms and systems?</x:v>
      </x:c>
      <x:c r="E61" s="55" t="str">
        <x:v>Applicable</x:v>
      </x:c>
      <x:c r="F61" s="55" t="n">
        <x:v>3</x:v>
      </x:c>
      <x:c r="G61" s="55" t="n">
        <x:v>2</x:v>
      </x:c>
      <x:c r="H61" s="55" t="str">
        <x:v>Partial</x:v>
      </x:c>
      <x:c r="I61" s="55" t="str">
        <x:v>Yes</x:v>
      </x:c>
      <x:c r="J61" s="55" t="n">
        <x:f>IF($E61="Not Applicable","",IF($I61="No",MIN($F61,$G61,3),MIN($F61,$G61)))</x:f>
        <x:v>2</x:v>
      </x:c>
      <x:c r="K61" s="55" t="str">
        <x:f>IF($E61="Not Applicable","N/A",IF($J61&gt;=5,"No Gap",IF($J61&gt;=4,"Improvement",IF($J61&gt;=3,"Low",IF($J61&gt;=2,"Medium",IF($J61&gt;=1,"High","Critical"))))))</x:f>
        <x:v>Medium</x:v>
      </x:c>
      <x:c r="L61" s="55" t="str">
        <x:f>IF($K61="Critical","P0",IF($K61="High","P1",IF($K61="Medium","P2",IF($K61="Low","P3",IF($K61="Improvement","P3","Monitor")))))</x:f>
        <x:v>P2</x:v>
      </x:c>
      <x:c r="M61" s="55" t="str">
        <x:v>Data Owners + IT</x:v>
      </x:c>
      <x:c r="N61" s="66" t="n">
        <x:f>IF($E61="Not Applicable","",$G61/5)</x:f>
        <x:v>0.4</x:v>
      </x:c>
      <x:c r="O61" s="55" t="str">
        <x:v>Implement validation rules on forms and systems.</x:v>
      </x:c>
      <x:c r="P61" s="55" t="str">
        <x:v>Data Quality Register</x:v>
      </x:c>
      <x:c r="Q61" s="55" t="str">
        <x:v>Validation screenshots / rules</x:v>
      </x:c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5" t="str">
        <x:v>A1.4</x:v>
      </x:c>
      <x:c r="B62" s="55" t="str">
        <x:v>D10</x:v>
      </x:c>
      <x:c r="C62" s="55" t="str">
        <x:v>Data accuracy and quality</x:v>
      </x:c>
      <x:c r="D62" s="55" t="str">
        <x:v>Are correction requests reflected across downstream systems and vendors?</x:v>
      </x:c>
      <x:c r="E62" s="55" t="str">
        <x:v>Applicable</x:v>
      </x:c>
      <x:c r="F62" s="55" t="n">
        <x:v>3</x:v>
      </x:c>
      <x:c r="G62" s="55" t="n">
        <x:v>2</x:v>
      </x:c>
      <x:c r="H62" s="55" t="str">
        <x:v>Partial</x:v>
      </x:c>
      <x:c r="I62" s="55" t="str">
        <x:v>Yes</x:v>
      </x:c>
      <x:c r="J62" s="55" t="n">
        <x:f>IF($E62="Not Applicable","",IF($I62="No",MIN($F62,$G62,3),MIN($F62,$G62)))</x:f>
        <x:v>2</x:v>
      </x:c>
      <x:c r="K62" s="55" t="str">
        <x:f>IF($E62="Not Applicable","N/A",IF($J62&gt;=5,"No Gap",IF($J62&gt;=4,"Improvement",IF($J62&gt;=3,"Low",IF($J62&gt;=2,"Medium",IF($J62&gt;=1,"High","Critical"))))))</x:f>
        <x:v>Medium</x:v>
      </x:c>
      <x:c r="L62" s="55" t="str">
        <x:f>IF($K62="Critical","P0",IF($K62="High","P1",IF($K62="Medium","P2",IF($K62="Low","P3",IF($K62="Improvement","P3","Monitor")))))</x:f>
        <x:v>P2</x:v>
      </x:c>
      <x:c r="M62" s="55" t="str">
        <x:v>Data Owners + IT</x:v>
      </x:c>
      <x:c r="N62" s="66" t="n">
        <x:f>IF($E62="Not Applicable","",$G62/5)</x:f>
        <x:v>0.4</x:v>
      </x:c>
      <x:c r="O62" s="55" t="str">
        <x:v>Define downstream propagation controls.</x:v>
      </x:c>
      <x:c r="P62" s="55" t="str">
        <x:v>Data Quality Register</x:v>
      </x:c>
      <x:c r="Q62" s="55" t="str">
        <x:v>Correction propagation workflow</x:v>
      </x:c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5" t="str">
        <x:v>A1.5</x:v>
      </x:c>
      <x:c r="B63" s="55" t="str">
        <x:v>D10</x:v>
      </x:c>
      <x:c r="C63" s="55" t="str">
        <x:v>Data accuracy and quality</x:v>
      </x:c>
      <x:c r="D63" s="55" t="str">
        <x:v>Are data quality issues tracked and corrected periodically?</x:v>
      </x:c>
      <x:c r="E63" s="55" t="str">
        <x:v>Applicable</x:v>
      </x:c>
      <x:c r="F63" s="55" t="n">
        <x:v>3</x:v>
      </x:c>
      <x:c r="G63" s="55" t="n">
        <x:v>2</x:v>
      </x:c>
      <x:c r="H63" s="55" t="str">
        <x:v>Partial</x:v>
      </x:c>
      <x:c r="I63" s="55" t="str">
        <x:v>Yes</x:v>
      </x:c>
      <x:c r="J63" s="55" t="n">
        <x:f>IF($E63="Not Applicable","",IF($I63="No",MIN($F63,$G63,3),MIN($F63,$G63)))</x:f>
        <x:v>2</x:v>
      </x:c>
      <x:c r="K63" s="55" t="str">
        <x:f>IF($E63="Not Applicable","N/A",IF($J63&gt;=5,"No Gap",IF($J63&gt;=4,"Improvement",IF($J63&gt;=3,"Low",IF($J63&gt;=2,"Medium",IF($J63&gt;=1,"High","Critical"))))))</x:f>
        <x:v>Medium</x:v>
      </x:c>
      <x:c r="L63" s="55" t="str">
        <x:f>IF($K63="Critical","P0",IF($K63="High","P1",IF($K63="Medium","P2",IF($K63="Low","P3",IF($K63="Improvement","P3","Monitor")))))</x:f>
        <x:v>P2</x:v>
      </x:c>
      <x:c r="M63" s="55" t="str">
        <x:v>Data Owners + IT</x:v>
      </x:c>
      <x:c r="N63" s="66" t="n">
        <x:f>IF($E63="Not Applicable","",$G63/5)</x:f>
        <x:v>0.4</x:v>
      </x:c>
      <x:c r="O63" s="55" t="str">
        <x:v>Run periodic data quality checks.</x:v>
      </x:c>
      <x:c r="P63" s="55" t="str">
        <x:v>Data Quality Register</x:v>
      </x:c>
      <x:c r="Q63" s="55" t="str">
        <x:v>Data quality reports</x:v>
      </x:c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5" t="str">
        <x:v>S1.1</x:v>
      </x:c>
      <x:c r="B64" s="55" t="str">
        <x:v>D11</x:v>
      </x:c>
      <x:c r="C64" s="55" t="str">
        <x:v>Security safeguards</x:v>
      </x:c>
      <x:c r="D64" s="55" t="str">
        <x:v>Is personal data protected using encryption, masking, obfuscation or tokenisation where appropriate?</x:v>
      </x:c>
      <x:c r="E64" s="55" t="str">
        <x:v>Applicable</x:v>
      </x:c>
      <x:c r="F64" s="55" t="n">
        <x:v>2</x:v>
      </x:c>
      <x:c r="G64" s="55" t="n">
        <x:v>2</x:v>
      </x:c>
      <x:c r="H64" s="55" t="str">
        <x:v>Partial</x:v>
      </x:c>
      <x:c r="I64" s="55" t="str">
        <x:v>Yes</x:v>
      </x:c>
      <x:c r="J64" s="55" t="n">
        <x:f>IF($E64="Not Applicable","",IF($I64="No",MIN($F64,$G64,3),MIN($F64,$G64)))</x:f>
        <x:v>2</x:v>
      </x:c>
      <x:c r="K64" s="55" t="str">
        <x:f>IF($E64="Not Applicable","N/A",IF($J64&gt;=5,"No Gap",IF($J64&gt;=4,"Improvement",IF($J64&gt;=3,"Low",IF($J64&gt;=2,"Medium",IF($J64&gt;=1,"High","Critical"))))))</x:f>
        <x:v>Medium</x:v>
      </x:c>
      <x:c r="L64" s="55" t="str">
        <x:f>IF($K64="Critical","P0",IF($K64="High","P1",IF($K64="Medium","P2",IF($K64="Low","P3",IF($K64="Improvement","P3","Monitor")))))</x:f>
        <x:v>P2</x:v>
      </x:c>
      <x:c r="M64" s="55" t="str">
        <x:v>IT / CISO / Security</x:v>
      </x:c>
      <x:c r="N64" s="66" t="n">
        <x:f>IF($E64="Not Applicable","",$G64/5)</x:f>
        <x:v>0.4</x:v>
      </x:c>
      <x:c r="O64" s="55" t="str">
        <x:v>Implement risk-based encryption, masking, tokenisation or obfuscation.</x:v>
      </x:c>
      <x:c r="P64" s="55" t="str">
        <x:v>Security Evidence Repository</x:v>
      </x:c>
      <x:c r="Q64" s="55" t="str">
        <x:v>Architecture proof / screenshots</x:v>
      </x:c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5" t="str">
        <x:v>S1.2</x:v>
      </x:c>
      <x:c r="B65" s="55" t="str">
        <x:v>D11</x:v>
      </x:c>
      <x:c r="C65" s="55" t="str">
        <x:v>Security safeguards</x:v>
      </x:c>
      <x:c r="D65" s="55" t="str">
        <x:v>Are role-based access controls implemented for systems containing personal data?</x:v>
      </x:c>
      <x:c r="E65" s="55" t="str">
        <x:v>Applicable</x:v>
      </x:c>
      <x:c r="F65" s="55" t="n">
        <x:v>2</x:v>
      </x:c>
      <x:c r="G65" s="55" t="n">
        <x:v>2</x:v>
      </x:c>
      <x:c r="H65" s="55" t="str">
        <x:v>Partial</x:v>
      </x:c>
      <x:c r="I65" s="55" t="str">
        <x:v>Yes</x:v>
      </x:c>
      <x:c r="J65" s="55" t="n">
        <x:f>IF($E65="Not Applicable","",IF($I65="No",MIN($F65,$G65,3),MIN($F65,$G65)))</x:f>
        <x:v>2</x:v>
      </x:c>
      <x:c r="K65" s="55" t="str">
        <x:f>IF($E65="Not Applicable","N/A",IF($J65&gt;=5,"No Gap",IF($J65&gt;=4,"Improvement",IF($J65&gt;=3,"Low",IF($J65&gt;=2,"Medium",IF($J65&gt;=1,"High","Critical"))))))</x:f>
        <x:v>Medium</x:v>
      </x:c>
      <x:c r="L65" s="55" t="str">
        <x:f>IF($K65="Critical","P0",IF($K65="High","P1",IF($K65="Medium","P2",IF($K65="Low","P3",IF($K65="Improvement","P3","Monitor")))))</x:f>
        <x:v>P2</x:v>
      </x:c>
      <x:c r="M65" s="55" t="str">
        <x:v>IT / CISO / Security</x:v>
      </x:c>
      <x:c r="N65" s="66" t="n">
        <x:f>IF($E65="Not Applicable","",$G65/5)</x:f>
        <x:v>0.4</x:v>
      </x:c>
      <x:c r="O65" s="55" t="str">
        <x:v>Implement RBAC for all critical systems.</x:v>
      </x:c>
      <x:c r="P65" s="55" t="str">
        <x:v>Security Evidence Repository</x:v>
      </x:c>
      <x:c r="Q65" s="55" t="str">
        <x:v>RBAC matrix</x:v>
      </x:c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5" t="str">
        <x:v>S1.3</x:v>
      </x:c>
      <x:c r="B66" s="55" t="str">
        <x:v>D11</x:v>
      </x:c>
      <x:c r="C66" s="55" t="str">
        <x:v>Security safeguards</x:v>
      </x:c>
      <x:c r="D66" s="55" t="str">
        <x:v>Are access logs maintained for viewing, editing, downloading, exporting and deleting personal data?</x:v>
      </x:c>
      <x:c r="E66" s="55" t="str">
        <x:v>Applicable</x:v>
      </x:c>
      <x:c r="F66" s="55" t="n">
        <x:v>2</x:v>
      </x:c>
      <x:c r="G66" s="55" t="n">
        <x:v>2</x:v>
      </x:c>
      <x:c r="H66" s="55" t="str">
        <x:v>Partial</x:v>
      </x:c>
      <x:c r="I66" s="55" t="str">
        <x:v>Yes</x:v>
      </x:c>
      <x:c r="J66" s="55" t="n">
        <x:f>IF($E66="Not Applicable","",IF($I66="No",MIN($F66,$G66,3),MIN($F66,$G66)))</x:f>
        <x:v>2</x:v>
      </x:c>
      <x:c r="K66" s="55" t="str">
        <x:f>IF($E66="Not Applicable","N/A",IF($J66&gt;=5,"No Gap",IF($J66&gt;=4,"Improvement",IF($J66&gt;=3,"Low",IF($J66&gt;=2,"Medium",IF($J66&gt;=1,"High","Critical"))))))</x:f>
        <x:v>Medium</x:v>
      </x:c>
      <x:c r="L66" s="55" t="str">
        <x:f>IF($K66="Critical","P0",IF($K66="High","P1",IF($K66="Medium","P2",IF($K66="Low","P3",IF($K66="Improvement","P3","Monitor")))))</x:f>
        <x:v>P2</x:v>
      </x:c>
      <x:c r="M66" s="55" t="str">
        <x:v>IT / CISO / Security</x:v>
      </x:c>
      <x:c r="N66" s="66" t="n">
        <x:f>IF($E66="Not Applicable","",$G66/5)</x:f>
        <x:v>0.4</x:v>
      </x:c>
      <x:c r="O66" s="55" t="str">
        <x:v>Enable and retain access/activity logs.</x:v>
      </x:c>
      <x:c r="P66" s="55" t="str">
        <x:v>Security Evidence Repository</x:v>
      </x:c>
      <x:c r="Q66" s="55" t="str">
        <x:v>Log samples</x:v>
      </x:c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5" t="str">
        <x:v>S1.4</x:v>
      </x:c>
      <x:c r="B67" s="55" t="str">
        <x:v>D11</x:v>
      </x:c>
      <x:c r="C67" s="55" t="str">
        <x:v>Security safeguards</x:v>
      </x:c>
      <x:c r="D67" s="55" t="str">
        <x:v>Are logs monitored and reviewed to detect unauthorised access?</x:v>
      </x:c>
      <x:c r="E67" s="55" t="str">
        <x:v>Applicable</x:v>
      </x:c>
      <x:c r="F67" s="55" t="n">
        <x:v>2</x:v>
      </x:c>
      <x:c r="G67" s="55" t="n">
        <x:v>2</x:v>
      </x:c>
      <x:c r="H67" s="55" t="str">
        <x:v>Partial</x:v>
      </x:c>
      <x:c r="I67" s="55" t="str">
        <x:v>Yes</x:v>
      </x:c>
      <x:c r="J67" s="55" t="n">
        <x:f>IF($E67="Not Applicable","",IF($I67="No",MIN($F67,$G67,3),MIN($F67,$G67)))</x:f>
        <x:v>2</x:v>
      </x:c>
      <x:c r="K67" s="55" t="str">
        <x:f>IF($E67="Not Applicable","N/A",IF($J67&gt;=5,"No Gap",IF($J67&gt;=4,"Improvement",IF($J67&gt;=3,"Low",IF($J67&gt;=2,"Medium",IF($J67&gt;=1,"High","Critical"))))))</x:f>
        <x:v>Medium</x:v>
      </x:c>
      <x:c r="L67" s="55" t="str">
        <x:f>IF($K67="Critical","P0",IF($K67="High","P1",IF($K67="Medium","P2",IF($K67="Low","P3",IF($K67="Improvement","P3","Monitor")))))</x:f>
        <x:v>P2</x:v>
      </x:c>
      <x:c r="M67" s="55" t="str">
        <x:v>IT / CISO / Security</x:v>
      </x:c>
      <x:c r="N67" s="66" t="n">
        <x:f>IF($E67="Not Applicable","",$G67/5)</x:f>
        <x:v>0.4</x:v>
      </x:c>
      <x:c r="O67" s="55" t="str">
        <x:v>Implement monitoring and periodic log reviews.</x:v>
      </x:c>
      <x:c r="P67" s="55" t="str">
        <x:v>Security Evidence Repository</x:v>
      </x:c>
      <x:c r="Q67" s="55" t="str">
        <x:v>Monitoring reports</x:v>
      </x:c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5" t="str">
        <x:v>S1.5</x:v>
      </x:c>
      <x:c r="B68" s="55" t="str">
        <x:v>D11</x:v>
      </x:c>
      <x:c r="C68" s="55" t="str">
        <x:v>Security safeguards</x:v>
      </x:c>
      <x:c r="D68" s="55" t="str">
        <x:v>Are backups maintained and tested for recovery?</x:v>
      </x:c>
      <x:c r="E68" s="55" t="str">
        <x:v>Applicable</x:v>
      </x:c>
      <x:c r="F68" s="55" t="n">
        <x:v>2</x:v>
      </x:c>
      <x:c r="G68" s="55" t="n">
        <x:v>2</x:v>
      </x:c>
      <x:c r="H68" s="55" t="str">
        <x:v>Partial</x:v>
      </x:c>
      <x:c r="I68" s="55" t="str">
        <x:v>Yes</x:v>
      </x:c>
      <x:c r="J68" s="55" t="n">
        <x:f>IF($E68="Not Applicable","",IF($I68="No",MIN($F68,$G68,3),MIN($F68,$G68)))</x:f>
        <x:v>2</x:v>
      </x:c>
      <x:c r="K68" s="55" t="str">
        <x:f>IF($E68="Not Applicable","N/A",IF($J68&gt;=5,"No Gap",IF($J68&gt;=4,"Improvement",IF($J68&gt;=3,"Low",IF($J68&gt;=2,"Medium",IF($J68&gt;=1,"High","Critical"))))))</x:f>
        <x:v>Medium</x:v>
      </x:c>
      <x:c r="L68" s="55" t="str">
        <x:f>IF($K68="Critical","P0",IF($K68="High","P1",IF($K68="Medium","P2",IF($K68="Low","P3",IF($K68="Improvement","P3","Monitor")))))</x:f>
        <x:v>P2</x:v>
      </x:c>
      <x:c r="M68" s="55" t="str">
        <x:v>IT / CISO / Security</x:v>
      </x:c>
      <x:c r="N68" s="66" t="n">
        <x:f>IF($E68="Not Applicable","",$G68/5)</x:f>
        <x:v>0.4</x:v>
      </x:c>
      <x:c r="O68" s="55" t="str">
        <x:v>Test backup and restore for critical systems.</x:v>
      </x:c>
      <x:c r="P68" s="55" t="str">
        <x:v>Security Evidence Repository</x:v>
      </x:c>
      <x:c r="Q68" s="55" t="str">
        <x:v>Backup and restore test evidence</x:v>
      </x:c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5" t="str">
        <x:v>S1.6</x:v>
      </x:c>
      <x:c r="B69" s="55" t="str">
        <x:v>D11</x:v>
      </x:c>
      <x:c r="C69" s="55" t="str">
        <x:v>Security safeguards</x:v>
      </x:c>
      <x:c r="D69" s="55" t="str">
        <x:v>Are admin, vendor, developer and privileged accesses reviewed periodically?</x:v>
      </x:c>
      <x:c r="E69" s="55" t="str">
        <x:v>Applicable</x:v>
      </x:c>
      <x:c r="F69" s="55" t="n">
        <x:v>2</x:v>
      </x:c>
      <x:c r="G69" s="55" t="n">
        <x:v>2</x:v>
      </x:c>
      <x:c r="H69" s="55" t="str">
        <x:v>Partial</x:v>
      </x:c>
      <x:c r="I69" s="55" t="str">
        <x:v>Yes</x:v>
      </x:c>
      <x:c r="J69" s="55" t="n">
        <x:f>IF($E69="Not Applicable","",IF($I69="No",MIN($F69,$G69,3),MIN($F69,$G69)))</x:f>
        <x:v>2</x:v>
      </x:c>
      <x:c r="K69" s="55" t="str">
        <x:f>IF($E69="Not Applicable","N/A",IF($J69&gt;=5,"No Gap",IF($J69&gt;=4,"Improvement",IF($J69&gt;=3,"Low",IF($J69&gt;=2,"Medium",IF($J69&gt;=1,"High","Critical"))))))</x:f>
        <x:v>Medium</x:v>
      </x:c>
      <x:c r="L69" s="55" t="str">
        <x:f>IF($K69="Critical","P0",IF($K69="High","P1",IF($K69="Medium","P2",IF($K69="Low","P3",IF($K69="Improvement","P3","Monitor")))))</x:f>
        <x:v>P2</x:v>
      </x:c>
      <x:c r="M69" s="55" t="str">
        <x:v>IT / CISO / Security</x:v>
      </x:c>
      <x:c r="N69" s="66" t="n">
        <x:f>IF($E69="Not Applicable","",$G69/5)</x:f>
        <x:v>0.4</x:v>
      </x:c>
      <x:c r="O69" s="55" t="str">
        <x:v>Run periodic privileged-access reviews.</x:v>
      </x:c>
      <x:c r="P69" s="55" t="str">
        <x:v>Security Evidence Repository</x:v>
      </x:c>
      <x:c r="Q69" s="55" t="str">
        <x:v>Access review report</x:v>
      </x:c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5" t="str">
        <x:v>S1.7</x:v>
      </x:c>
      <x:c r="B70" s="55" t="str">
        <x:v>D11</x:v>
      </x:c>
      <x:c r="C70" s="55" t="str">
        <x:v>Security safeguards</x:v>
      </x:c>
      <x:c r="D70" s="55" t="str">
        <x:v>Are test/development environments protected from unnecessary personal data exposure?</x:v>
      </x:c>
      <x:c r="E70" s="55" t="str">
        <x:v>Applicable</x:v>
      </x:c>
      <x:c r="F70" s="55" t="n">
        <x:v>2</x:v>
      </x:c>
      <x:c r="G70" s="55" t="n">
        <x:v>2</x:v>
      </x:c>
      <x:c r="H70" s="55" t="str">
        <x:v>Partial</x:v>
      </x:c>
      <x:c r="I70" s="55" t="str">
        <x:v>Yes</x:v>
      </x:c>
      <x:c r="J70" s="55" t="n">
        <x:f>IF($E70="Not Applicable","",IF($I70="No",MIN($F70,$G70,3),MIN($F70,$G70)))</x:f>
        <x:v>2</x:v>
      </x:c>
      <x:c r="K70" s="55" t="str">
        <x:f>IF($E70="Not Applicable","N/A",IF($J70&gt;=5,"No Gap",IF($J70&gt;=4,"Improvement",IF($J70&gt;=3,"Low",IF($J70&gt;=2,"Medium",IF($J70&gt;=1,"High","Critical"))))))</x:f>
        <x:v>Medium</x:v>
      </x:c>
      <x:c r="L70" s="55" t="str">
        <x:f>IF($K70="Critical","P0",IF($K70="High","P1",IF($K70="Medium","P2",IF($K70="Low","P3",IF($K70="Improvement","P3","Monitor")))))</x:f>
        <x:v>P2</x:v>
      </x:c>
      <x:c r="M70" s="55" t="str">
        <x:v>IT / CISO / Security</x:v>
      </x:c>
      <x:c r="N70" s="66" t="n">
        <x:f>IF($E70="Not Applicable","",$G70/5)</x:f>
        <x:v>0.4</x:v>
      </x:c>
      <x:c r="O70" s="55" t="str">
        <x:v>Use masked/synthetic data in lower environments.</x:v>
      </x:c>
      <x:c r="P70" s="55" t="str">
        <x:v>Security Evidence Repository</x:v>
      </x:c>
      <x:c r="Q70" s="55" t="str">
        <x:v>Test data policy / masking proof</x:v>
      </x:c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5" t="str">
        <x:v>S1.8</x:v>
      </x:c>
      <x:c r="B71" s="55" t="str">
        <x:v>D11</x:v>
      </x:c>
      <x:c r="C71" s="55" t="str">
        <x:v>Security safeguards</x:v>
      </x:c>
      <x:c r="D71" s="55" t="str">
        <x:v>Are security safeguards contractually required for processors/vendors?</x:v>
      </x:c>
      <x:c r="E71" s="55" t="str">
        <x:v>Applicable</x:v>
      </x:c>
      <x:c r="F71" s="55" t="n">
        <x:v>2</x:v>
      </x:c>
      <x:c r="G71" s="55" t="n">
        <x:v>2</x:v>
      </x:c>
      <x:c r="H71" s="55" t="str">
        <x:v>Partial</x:v>
      </x:c>
      <x:c r="I71" s="55" t="str">
        <x:v>Yes</x:v>
      </x:c>
      <x:c r="J71" s="55" t="n">
        <x:f>IF($E71="Not Applicable","",IF($I71="No",MIN($F71,$G71,3),MIN($F71,$G71)))</x:f>
        <x:v>2</x:v>
      </x:c>
      <x:c r="K71" s="55" t="str">
        <x:f>IF($E71="Not Applicable","N/A",IF($J71&gt;=5,"No Gap",IF($J71&gt;=4,"Improvement",IF($J71&gt;=3,"Low",IF($J71&gt;=2,"Medium",IF($J71&gt;=1,"High","Critical"))))))</x:f>
        <x:v>Medium</x:v>
      </x:c>
      <x:c r="L71" s="55" t="str">
        <x:f>IF($K71="Critical","P0",IF($K71="High","P1",IF($K71="Medium","P2",IF($K71="Low","P3",IF($K71="Improvement","P3","Monitor")))))</x:f>
        <x:v>P2</x:v>
      </x:c>
      <x:c r="M71" s="55" t="str">
        <x:v>IT / CISO / Security</x:v>
      </x:c>
      <x:c r="N71" s="66" t="n">
        <x:f>IF($E71="Not Applicable","",$G71/5)</x:f>
        <x:v>0.4</x:v>
      </x:c>
      <x:c r="O71" s="55" t="str">
        <x:v>Add processor security safeguards to contracts.</x:v>
      </x:c>
      <x:c r="P71" s="55" t="str">
        <x:v>Security Evidence Repository</x:v>
      </x:c>
      <x:c r="Q71" s="55" t="str">
        <x:v>Contract clauses / security addendum</x:v>
      </x:c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5" t="str">
        <x:v>B1.1</x:v>
      </x:c>
      <x:c r="B72" s="55" t="str">
        <x:v>D12</x:v>
      </x:c>
      <x:c r="C72" s="55" t="str">
        <x:v>Personal data breach readiness</x:v>
      </x:c>
      <x:c r="D72" s="55" t="str">
        <x:v>Does the organisation have a DPDP-specific personal data breach response playbook?</x:v>
      </x:c>
      <x:c r="E72" s="55" t="str">
        <x:v>Applicable</x:v>
      </x:c>
      <x:c r="F72" s="55" t="n">
        <x:v>0</x:v>
      </x:c>
      <x:c r="G72" s="55" t="n">
        <x:v>0</x:v>
      </x:c>
      <x:c r="H72" s="55" t="str">
        <x:v>Not Provided</x:v>
      </x:c>
      <x:c r="I72" s="55" t="str">
        <x:v>Yes</x:v>
      </x:c>
      <x:c r="J72" s="55" t="n">
        <x:f>IF($E72="Not Applicable","",IF($I72="No",MIN($F72,$G72,3),MIN($F72,$G72)))</x:f>
        <x:v>0</x:v>
      </x:c>
      <x:c r="K72" s="55" t="str">
        <x:f>IF($E72="Not Applicable","N/A",IF($J72&gt;=5,"No Gap",IF($J72&gt;=4,"Improvement",IF($J72&gt;=3,"Low",IF($J72&gt;=2,"Medium",IF($J72&gt;=1,"High","Critical"))))))</x:f>
        <x:v>Critical</x:v>
      </x:c>
      <x:c r="L72" s="55" t="str">
        <x:f>IF($K72="Critical","P0",IF($K72="High","P1",IF($K72="Medium","P2",IF($K72="Low","P3",IF($K72="Improvement","P3","Monitor")))))</x:f>
        <x:v>P0</x:v>
      </x:c>
      <x:c r="M72" s="55" t="str">
        <x:v>IT/Security + Legal</x:v>
      </x:c>
      <x:c r="N72" s="66" t="n">
        <x:f>IF($E72="Not Applicable","",$G72/5)</x:f>
        <x:v>0</x:v>
      </x:c>
      <x:c r="O72" s="55" t="str">
        <x:v>Create DPDP-specific breach playbook.</x:v>
      </x:c>
      <x:c r="P72" s="55" t="str">
        <x:v>Breach Response Workflow</x:v>
      </x:c>
      <x:c r="Q72" s="55" t="str">
        <x:v>Breach response playbook</x:v>
      </x:c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5" t="str">
        <x:v>B1.2</x:v>
      </x:c>
      <x:c r="B73" s="55" t="str">
        <x:v>D12</x:v>
      </x:c>
      <x:c r="C73" s="55" t="str">
        <x:v>Personal data breach readiness</x:v>
      </x:c>
      <x:c r="D73" s="55" t="str">
        <x:v>Can the organisation detect unauthorised access, accidental disclosure, data loss or leakage?</x:v>
      </x:c>
      <x:c r="E73" s="55" t="str">
        <x:v>Applicable</x:v>
      </x:c>
      <x:c r="F73" s="55" t="n">
        <x:v>1</x:v>
      </x:c>
      <x:c r="G73" s="55" t="n">
        <x:v>1</x:v>
      </x:c>
      <x:c r="H73" s="55" t="str">
        <x:v>Requested</x:v>
      </x:c>
      <x:c r="I73" s="55" t="str">
        <x:v>Yes</x:v>
      </x:c>
      <x:c r="J73" s="55" t="n">
        <x:f>IF($E73="Not Applicable","",IF($I73="No",MIN($F73,$G73,3),MIN($F73,$G73)))</x:f>
        <x:v>1</x:v>
      </x:c>
      <x:c r="K73" s="55" t="str">
        <x:f>IF($E73="Not Applicable","N/A",IF($J73&gt;=5,"No Gap",IF($J73&gt;=4,"Improvement",IF($J73&gt;=3,"Low",IF($J73&gt;=2,"Medium",IF($J73&gt;=1,"High","Critical"))))))</x:f>
        <x:v>High</x:v>
      </x:c>
      <x:c r="L73" s="55" t="str">
        <x:f>IF($K73="Critical","P0",IF($K73="High","P1",IF($K73="Medium","P2",IF($K73="Low","P3",IF($K73="Improvement","P3","Monitor")))))</x:f>
        <x:v>P1</x:v>
      </x:c>
      <x:c r="M73" s="55" t="str">
        <x:v>IT/Security + Legal</x:v>
      </x:c>
      <x:c r="N73" s="66" t="n">
        <x:f>IF($E73="Not Applicable","",$G73/5)</x:f>
        <x:v>0.2</x:v>
      </x:c>
      <x:c r="O73" s="55" t="str">
        <x:v>Strengthen detection of personal-data breach events.</x:v>
      </x:c>
      <x:c r="P73" s="55" t="str">
        <x:v>Breach Response Workflow</x:v>
      </x:c>
      <x:c r="Q73" s="55" t="str">
        <x:v>Monitoring controls</x:v>
      </x:c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5" t="str">
        <x:v>B1.3</x:v>
      </x:c>
      <x:c r="B74" s="55" t="str">
        <x:v>D12</x:v>
      </x:c>
      <x:c r="C74" s="55" t="str">
        <x:v>Personal data breach readiness</x:v>
      </x:c>
      <x:c r="D74" s="55" t="str">
        <x:v>Is there a process to assess breach nature, extent, timing, affected persons and likely consequences?</x:v>
      </x:c>
      <x:c r="E74" s="55" t="str">
        <x:v>Applicable</x:v>
      </x:c>
      <x:c r="F74" s="55" t="n">
        <x:v>1</x:v>
      </x:c>
      <x:c r="G74" s="55" t="n">
        <x:v>1</x:v>
      </x:c>
      <x:c r="H74" s="55" t="str">
        <x:v>Requested</x:v>
      </x:c>
      <x:c r="I74" s="55" t="str">
        <x:v>Yes</x:v>
      </x:c>
      <x:c r="J74" s="55" t="n">
        <x:f>IF($E74="Not Applicable","",IF($I74="No",MIN($F74,$G74,3),MIN($F74,$G74)))</x:f>
        <x:v>1</x:v>
      </x:c>
      <x:c r="K74" s="55" t="str">
        <x:f>IF($E74="Not Applicable","N/A",IF($J74&gt;=5,"No Gap",IF($J74&gt;=4,"Improvement",IF($J74&gt;=3,"Low",IF($J74&gt;=2,"Medium",IF($J74&gt;=1,"High","Critical"))))))</x:f>
        <x:v>High</x:v>
      </x:c>
      <x:c r="L74" s="55" t="str">
        <x:f>IF($K74="Critical","P0",IF($K74="High","P1",IF($K74="Medium","P2",IF($K74="Low","P3",IF($K74="Improvement","P3","Monitor")))))</x:f>
        <x:v>P1</x:v>
      </x:c>
      <x:c r="M74" s="55" t="str">
        <x:v>IT/Security + Legal</x:v>
      </x:c>
      <x:c r="N74" s="66" t="n">
        <x:f>IF($E74="Not Applicable","",$G74/5)</x:f>
        <x:v>0.2</x:v>
      </x:c>
      <x:c r="O74" s="55" t="str">
        <x:v>Create breach triage and impact assessment template.</x:v>
      </x:c>
      <x:c r="P74" s="55" t="str">
        <x:v>Breach Response Workflow</x:v>
      </x:c>
      <x:c r="Q74" s="55" t="str">
        <x:v>Incident assessment template</x:v>
      </x:c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5" t="str">
        <x:v>B1.4</x:v>
      </x:c>
      <x:c r="B75" s="55" t="str">
        <x:v>D12</x:v>
      </x:c>
      <x:c r="C75" s="55" t="str">
        <x:v>Personal data breach readiness</x:v>
      </x:c>
      <x:c r="D75" s="55" t="str">
        <x:v>Are templates ready for notifying affected Data Principals in clear and plain language?</x:v>
      </x:c>
      <x:c r="E75" s="55" t="str">
        <x:v>Applicable</x:v>
      </x:c>
      <x:c r="F75" s="55" t="n">
        <x:v>1</x:v>
      </x:c>
      <x:c r="G75" s="55" t="n">
        <x:v>1</x:v>
      </x:c>
      <x:c r="H75" s="55" t="str">
        <x:v>Requested</x:v>
      </x:c>
      <x:c r="I75" s="55" t="str">
        <x:v>Yes</x:v>
      </x:c>
      <x:c r="J75" s="55" t="n">
        <x:f>IF($E75="Not Applicable","",IF($I75="No",MIN($F75,$G75,3),MIN($F75,$G75)))</x:f>
        <x:v>1</x:v>
      </x:c>
      <x:c r="K75" s="55" t="str">
        <x:f>IF($E75="Not Applicable","N/A",IF($J75&gt;=5,"No Gap",IF($J75&gt;=4,"Improvement",IF($J75&gt;=3,"Low",IF($J75&gt;=2,"Medium",IF($J75&gt;=1,"High","Critical"))))))</x:f>
        <x:v>High</x:v>
      </x:c>
      <x:c r="L75" s="55" t="str">
        <x:f>IF($K75="Critical","P0",IF($K75="High","P1",IF($K75="Medium","P2",IF($K75="Low","P3",IF($K75="Improvement","P3","Monitor")))))</x:f>
        <x:v>P1</x:v>
      </x:c>
      <x:c r="M75" s="55" t="str">
        <x:v>IT/Security + Legal</x:v>
      </x:c>
      <x:c r="N75" s="66" t="n">
        <x:f>IF($E75="Not Applicable","",$G75/5)</x:f>
        <x:v>0.2</x:v>
      </x:c>
      <x:c r="O75" s="55" t="str">
        <x:v>Prepare affected Data Principal notification template.</x:v>
      </x:c>
      <x:c r="P75" s="55" t="str">
        <x:v>Breach Response Workflow</x:v>
      </x:c>
      <x:c r="Q75" s="55" t="str">
        <x:v>Notification template</x:v>
      </x:c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5" t="str">
        <x:v>B1.5</x:v>
      </x:c>
      <x:c r="B76" s="55" t="str">
        <x:v>D12</x:v>
      </x:c>
      <x:c r="C76" s="55" t="str">
        <x:v>Personal data breach readiness</x:v>
      </x:c>
      <x:c r="D76" s="55" t="str">
        <x:v>Are templates and responsibility owners defined for Board intimation and 72-hour detailed reporting?</x:v>
      </x:c>
      <x:c r="E76" s="55" t="str">
        <x:v>Applicable</x:v>
      </x:c>
      <x:c r="F76" s="55" t="n">
        <x:v>0</x:v>
      </x:c>
      <x:c r="G76" s="55" t="n">
        <x:v>0</x:v>
      </x:c>
      <x:c r="H76" s="55" t="str">
        <x:v>Not Provided</x:v>
      </x:c>
      <x:c r="I76" s="55" t="str">
        <x:v>Yes</x:v>
      </x:c>
      <x:c r="J76" s="55" t="n">
        <x:f>IF($E76="Not Applicable","",IF($I76="No",MIN($F76,$G76,3),MIN($F76,$G76)))</x:f>
        <x:v>0</x:v>
      </x:c>
      <x:c r="K76" s="55" t="str">
        <x:f>IF($E76="Not Applicable","N/A",IF($J76&gt;=5,"No Gap",IF($J76&gt;=4,"Improvement",IF($J76&gt;=3,"Low",IF($J76&gt;=2,"Medium",IF($J76&gt;=1,"High","Critical"))))))</x:f>
        <x:v>Critical</x:v>
      </x:c>
      <x:c r="L76" s="55" t="str">
        <x:f>IF($K76="Critical","P0",IF($K76="High","P1",IF($K76="Medium","P2",IF($K76="Low","P3",IF($K76="Improvement","P3","Monitor")))))</x:f>
        <x:v>P0</x:v>
      </x:c>
      <x:c r="M76" s="55" t="str">
        <x:v>IT/Security + Legal</x:v>
      </x:c>
      <x:c r="N76" s="66" t="n">
        <x:f>IF($E76="Not Applicable","",$G76/5)</x:f>
        <x:v>0</x:v>
      </x:c>
      <x:c r="O76" s="55" t="str">
        <x:v>Create Board intimation workflow and 72-hour tracker.</x:v>
      </x:c>
      <x:c r="P76" s="55" t="str">
        <x:v>Breach Response Workflow</x:v>
      </x:c>
      <x:c r="Q76" s="55" t="str">
        <x:v>Board intimation template / tracker</x:v>
      </x:c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5" t="str">
        <x:v>B1.6</x:v>
      </x:c>
      <x:c r="B77" s="55" t="str">
        <x:v>D12</x:v>
      </x:c>
      <x:c r="C77" s="55" t="str">
        <x:v>Personal data breach readiness</x:v>
      </x:c>
      <x:c r="D77" s="55" t="str">
        <x:v>Has the organisation conducted at least one breach simulation or tabletop drill?</x:v>
      </x:c>
      <x:c r="E77" s="55" t="str">
        <x:v>Applicable</x:v>
      </x:c>
      <x:c r="F77" s="55" t="n">
        <x:v>1</x:v>
      </x:c>
      <x:c r="G77" s="55" t="n">
        <x:v>1</x:v>
      </x:c>
      <x:c r="H77" s="55" t="str">
        <x:v>Requested</x:v>
      </x:c>
      <x:c r="I77" s="55" t="str">
        <x:v>Yes</x:v>
      </x:c>
      <x:c r="J77" s="55" t="n">
        <x:f>IF($E77="Not Applicable","",IF($I77="No",MIN($F77,$G77,3),MIN($F77,$G77)))</x:f>
        <x:v>1</x:v>
      </x:c>
      <x:c r="K77" s="55" t="str">
        <x:f>IF($E77="Not Applicable","N/A",IF($J77&gt;=5,"No Gap",IF($J77&gt;=4,"Improvement",IF($J77&gt;=3,"Low",IF($J77&gt;=2,"Medium",IF($J77&gt;=1,"High","Critical"))))))</x:f>
        <x:v>High</x:v>
      </x:c>
      <x:c r="L77" s="55" t="str">
        <x:f>IF($K77="Critical","P0",IF($K77="High","P1",IF($K77="Medium","P2",IF($K77="Low","P3",IF($K77="Improvement","P3","Monitor")))))</x:f>
        <x:v>P1</x:v>
      </x:c>
      <x:c r="M77" s="55" t="str">
        <x:v>IT/Security + Legal</x:v>
      </x:c>
      <x:c r="N77" s="66" t="n">
        <x:f>IF($E77="Not Applicable","",$G77/5)</x:f>
        <x:v>0.2</x:v>
      </x:c>
      <x:c r="O77" s="55" t="str">
        <x:v>Conduct breach tabletop exercise and store evidence.</x:v>
      </x:c>
      <x:c r="P77" s="55" t="str">
        <x:v>Breach Response Workflow</x:v>
      </x:c>
      <x:c r="Q77" s="55" t="str">
        <x:v>Drill report</x:v>
      </x:c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5" t="str">
        <x:v>V1.1</x:v>
      </x:c>
      <x:c r="B78" s="55" t="str">
        <x:v>D13</x:v>
      </x:c>
      <x:c r="C78" s="55" t="str">
        <x:v>Vendor / Data Processor governance</x:v>
      </x:c>
      <x:c r="D78" s="55" t="str">
        <x:v>Has the organisation identified all Data Processors handling personal data?</x:v>
      </x:c>
      <x:c r="E78" s="55" t="str">
        <x:v>Applicable</x:v>
      </x:c>
      <x:c r="F78" s="55" t="n">
        <x:v>1</x:v>
      </x:c>
      <x:c r="G78" s="55" t="n">
        <x:v>1</x:v>
      </x:c>
      <x:c r="H78" s="55" t="str">
        <x:v>Requested</x:v>
      </x:c>
      <x:c r="I78" s="55" t="str">
        <x:v>Yes</x:v>
      </x:c>
      <x:c r="J78" s="55" t="n">
        <x:f>IF($E78="Not Applicable","",IF($I78="No",MIN($F78,$G78,3),MIN($F78,$G78)))</x:f>
        <x:v>1</x:v>
      </x:c>
      <x:c r="K78" s="55" t="str">
        <x:f>IF($E78="Not Applicable","N/A",IF($J78&gt;=5,"No Gap",IF($J78&gt;=4,"Improvement",IF($J78&gt;=3,"Low",IF($J78&gt;=2,"Medium",IF($J78&gt;=1,"High","Critical"))))))</x:f>
        <x:v>High</x:v>
      </x:c>
      <x:c r="L78" s="55" t="str">
        <x:f>IF($K78="Critical","P0",IF($K78="High","P1",IF($K78="Medium","P2",IF($K78="Low","P3",IF($K78="Improvement","P3","Monitor")))))</x:f>
        <x:v>P1</x:v>
      </x:c>
      <x:c r="M78" s="55" t="str">
        <x:v>Procurement + Legal + IT</x:v>
      </x:c>
      <x:c r="N78" s="66" t="n">
        <x:f>IF($E78="Not Applicable","",$G78/5)</x:f>
        <x:v>0.2</x:v>
      </x:c>
      <x:c r="O78" s="55" t="str">
        <x:v>Create processor/vendor register.</x:v>
      </x:c>
      <x:c r="P78" s="55" t="str">
        <x:v>Vendor Governance Register</x:v>
      </x:c>
      <x:c r="Q78" s="55" t="str">
        <x:v>Vendor/processor register</x:v>
      </x:c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5" t="str">
        <x:v>V1.2</x:v>
      </x:c>
      <x:c r="B79" s="55" t="str">
        <x:v>D13</x:v>
      </x:c>
      <x:c r="C79" s="55" t="str">
        <x:v>Vendor / Data Processor governance</x:v>
      </x:c>
      <x:c r="D79" s="55" t="str">
        <x:v>Are valid contracts in place with all processors?</x:v>
      </x:c>
      <x:c r="E79" s="55" t="str">
        <x:v>Applicable</x:v>
      </x:c>
      <x:c r="F79" s="55" t="n">
        <x:v>0</x:v>
      </x:c>
      <x:c r="G79" s="55" t="n">
        <x:v>0</x:v>
      </x:c>
      <x:c r="H79" s="55" t="str">
        <x:v>Not Provided</x:v>
      </x:c>
      <x:c r="I79" s="55" t="str">
        <x:v>Yes</x:v>
      </x:c>
      <x:c r="J79" s="55" t="n">
        <x:f>IF($E79="Not Applicable","",IF($I79="No",MIN($F79,$G79,3),MIN($F79,$G79)))</x:f>
        <x:v>0</x:v>
      </x:c>
      <x:c r="K79" s="55" t="str">
        <x:f>IF($E79="Not Applicable","N/A",IF($J79&gt;=5,"No Gap",IF($J79&gt;=4,"Improvement",IF($J79&gt;=3,"Low",IF($J79&gt;=2,"Medium",IF($J79&gt;=1,"High","Critical"))))))</x:f>
        <x:v>Critical</x:v>
      </x:c>
      <x:c r="L79" s="55" t="str">
        <x:f>IF($K79="Critical","P0",IF($K79="High","P1",IF($K79="Medium","P2",IF($K79="Low","P3",IF($K79="Improvement","P3","Monitor")))))</x:f>
        <x:v>P0</x:v>
      </x:c>
      <x:c r="M79" s="55" t="str">
        <x:v>Procurement + Legal + IT</x:v>
      </x:c>
      <x:c r="N79" s="66" t="n">
        <x:f>IF($E79="Not Applicable","",$G79/5)</x:f>
        <x:v>0</x:v>
      </x:c>
      <x:c r="O79" s="55" t="str">
        <x:v>Ensure valid contracts for all processors.</x:v>
      </x:c>
      <x:c r="P79" s="55" t="str">
        <x:v>Vendor Governance Register</x:v>
      </x:c>
      <x:c r="Q79" s="55" t="str">
        <x:v>Vendor contracts</x:v>
      </x:c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5" t="str">
        <x:v>V1.3</x:v>
      </x:c>
      <x:c r="B80" s="55" t="str">
        <x:v>D13</x:v>
      </x:c>
      <x:c r="C80" s="55" t="str">
        <x:v>Vendor / Data Processor governance</x:v>
      </x:c>
      <x:c r="D80" s="55" t="str">
        <x:v>Do contracts restrict processing to authorised purposes?</x:v>
      </x:c>
      <x:c r="E80" s="55" t="str">
        <x:v>Applicable</x:v>
      </x:c>
      <x:c r="F80" s="55" t="n">
        <x:v>1</x:v>
      </x:c>
      <x:c r="G80" s="55" t="n">
        <x:v>1</x:v>
      </x:c>
      <x:c r="H80" s="55" t="str">
        <x:v>Requested</x:v>
      </x:c>
      <x:c r="I80" s="55" t="str">
        <x:v>Yes</x:v>
      </x:c>
      <x:c r="J80" s="55" t="n">
        <x:f>IF($E80="Not Applicable","",IF($I80="No",MIN($F80,$G80,3),MIN($F80,$G80)))</x:f>
        <x:v>1</x:v>
      </x:c>
      <x:c r="K80" s="55" t="str">
        <x:f>IF($E80="Not Applicable","N/A",IF($J80&gt;=5,"No Gap",IF($J80&gt;=4,"Improvement",IF($J80&gt;=3,"Low",IF($J80&gt;=2,"Medium",IF($J80&gt;=1,"High","Critical"))))))</x:f>
        <x:v>High</x:v>
      </x:c>
      <x:c r="L80" s="55" t="str">
        <x:f>IF($K80="Critical","P0",IF($K80="High","P1",IF($K80="Medium","P2",IF($K80="Low","P3",IF($K80="Improvement","P3","Monitor")))))</x:f>
        <x:v>P1</x:v>
      </x:c>
      <x:c r="M80" s="55" t="str">
        <x:v>Procurement + Legal + IT</x:v>
      </x:c>
      <x:c r="N80" s="66" t="n">
        <x:f>IF($E80="Not Applicable","",$G80/5)</x:f>
        <x:v>0.2</x:v>
      </x:c>
      <x:c r="O80" s="55" t="str">
        <x:v>Add purpose limitation to processor contracts.</x:v>
      </x:c>
      <x:c r="P80" s="55" t="str">
        <x:v>Vendor Governance Register</x:v>
      </x:c>
      <x:c r="Q80" s="55" t="str">
        <x:v>Contract clauses</x:v>
      </x:c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5" t="str">
        <x:v>V1.4</x:v>
      </x:c>
      <x:c r="B81" s="55" t="str">
        <x:v>D13</x:v>
      </x:c>
      <x:c r="C81" s="55" t="str">
        <x:v>Vendor / Data Processor governance</x:v>
      </x:c>
      <x:c r="D81" s="55" t="str">
        <x:v>Do contracts require reasonable security safeguards and breach reporting?</x:v>
      </x:c>
      <x:c r="E81" s="55" t="str">
        <x:v>Applicable</x:v>
      </x:c>
      <x:c r="F81" s="55" t="n">
        <x:v>1</x:v>
      </x:c>
      <x:c r="G81" s="55" t="n">
        <x:v>1</x:v>
      </x:c>
      <x:c r="H81" s="55" t="str">
        <x:v>Requested</x:v>
      </x:c>
      <x:c r="I81" s="55" t="str">
        <x:v>Yes</x:v>
      </x:c>
      <x:c r="J81" s="55" t="n">
        <x:f>IF($E81="Not Applicable","",IF($I81="No",MIN($F81,$G81,3),MIN($F81,$G81)))</x:f>
        <x:v>1</x:v>
      </x:c>
      <x:c r="K81" s="55" t="str">
        <x:f>IF($E81="Not Applicable","N/A",IF($J81&gt;=5,"No Gap",IF($J81&gt;=4,"Improvement",IF($J81&gt;=3,"Low",IF($J81&gt;=2,"Medium",IF($J81&gt;=1,"High","Critical"))))))</x:f>
        <x:v>High</x:v>
      </x:c>
      <x:c r="L81" s="55" t="str">
        <x:f>IF($K81="Critical","P0",IF($K81="High","P1",IF($K81="Medium","P2",IF($K81="Low","P3",IF($K81="Improvement","P3","Monitor")))))</x:f>
        <x:v>P1</x:v>
      </x:c>
      <x:c r="M81" s="55" t="str">
        <x:v>Procurement + Legal + IT</x:v>
      </x:c>
      <x:c r="N81" s="66" t="n">
        <x:f>IF($E81="Not Applicable","",$G81/5)</x:f>
        <x:v>0.2</x:v>
      </x:c>
      <x:c r="O81" s="55" t="str">
        <x:v>Add security and breach clauses.</x:v>
      </x:c>
      <x:c r="P81" s="55" t="str">
        <x:v>Vendor Governance Register</x:v>
      </x:c>
      <x:c r="Q81" s="55" t="str">
        <x:v>DPDP/security addendum</x:v>
      </x:c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5" t="str">
        <x:v>V1.5</x:v>
      </x:c>
      <x:c r="B82" s="55" t="str">
        <x:v>D13</x:v>
      </x:c>
      <x:c r="C82" s="55" t="str">
        <x:v>Vendor / Data Processor governance</x:v>
      </x:c>
      <x:c r="D82" s="55" t="str">
        <x:v>Are sub-processors, cloud locations and cross-border transfers reviewed?</x:v>
      </x:c>
      <x:c r="E82" s="55" t="str">
        <x:v>Applicable</x:v>
      </x:c>
      <x:c r="F82" s="55" t="n">
        <x:v>1</x:v>
      </x:c>
      <x:c r="G82" s="55" t="n">
        <x:v>1</x:v>
      </x:c>
      <x:c r="H82" s="55" t="str">
        <x:v>Requested</x:v>
      </x:c>
      <x:c r="I82" s="55" t="str">
        <x:v>Yes</x:v>
      </x:c>
      <x:c r="J82" s="55" t="n">
        <x:f>IF($E82="Not Applicable","",IF($I82="No",MIN($F82,$G82,3),MIN($F82,$G82)))</x:f>
        <x:v>1</x:v>
      </x:c>
      <x:c r="K82" s="55" t="str">
        <x:f>IF($E82="Not Applicable","N/A",IF($J82&gt;=5,"No Gap",IF($J82&gt;=4,"Improvement",IF($J82&gt;=3,"Low",IF($J82&gt;=2,"Medium",IF($J82&gt;=1,"High","Critical"))))))</x:f>
        <x:v>High</x:v>
      </x:c>
      <x:c r="L82" s="55" t="str">
        <x:f>IF($K82="Critical","P0",IF($K82="High","P1",IF($K82="Medium","P2",IF($K82="Low","P3",IF($K82="Improvement","P3","Monitor")))))</x:f>
        <x:v>P1</x:v>
      </x:c>
      <x:c r="M82" s="55" t="str">
        <x:v>Procurement + Legal + IT</x:v>
      </x:c>
      <x:c r="N82" s="66" t="n">
        <x:f>IF($E82="Not Applicable","",$G82/5)</x:f>
        <x:v>0.2</x:v>
      </x:c>
      <x:c r="O82" s="55" t="str">
        <x:v>Collect sub-processor and data-location details.</x:v>
      </x:c>
      <x:c r="P82" s="55" t="str">
        <x:v>Vendor Governance Register</x:v>
      </x:c>
      <x:c r="Q82" s="55" t="str">
        <x:v>Vendor questionnaire / location map</x:v>
      </x:c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5" t="str">
        <x:v>V1.6</x:v>
      </x:c>
      <x:c r="B83" s="55" t="str">
        <x:v>D13</x:v>
      </x:c>
      <x:c r="C83" s="55" t="str">
        <x:v>Vendor / Data Processor governance</x:v>
      </x:c>
      <x:c r="D83" s="55" t="str">
        <x:v>Is there a process to review vendor DPDP readiness periodically?</x:v>
      </x:c>
      <x:c r="E83" s="55" t="str">
        <x:v>Applicable</x:v>
      </x:c>
      <x:c r="F83" s="55" t="n">
        <x:v>1</x:v>
      </x:c>
      <x:c r="G83" s="55" t="n">
        <x:v>1</x:v>
      </x:c>
      <x:c r="H83" s="55" t="str">
        <x:v>Requested</x:v>
      </x:c>
      <x:c r="I83" s="55" t="str">
        <x:v>Yes</x:v>
      </x:c>
      <x:c r="J83" s="55" t="n">
        <x:f>IF($E83="Not Applicable","",IF($I83="No",MIN($F83,$G83,3),MIN($F83,$G83)))</x:f>
        <x:v>1</x:v>
      </x:c>
      <x:c r="K83" s="55" t="str">
        <x:f>IF($E83="Not Applicable","N/A",IF($J83&gt;=5,"No Gap",IF($J83&gt;=4,"Improvement",IF($J83&gt;=3,"Low",IF($J83&gt;=2,"Medium",IF($J83&gt;=1,"High","Critical"))))))</x:f>
        <x:v>High</x:v>
      </x:c>
      <x:c r="L83" s="55" t="str">
        <x:f>IF($K83="Critical","P0",IF($K83="High","P1",IF($K83="Medium","P2",IF($K83="Low","P3",IF($K83="Improvement","P3","Monitor")))))</x:f>
        <x:v>P1</x:v>
      </x:c>
      <x:c r="M83" s="55" t="str">
        <x:v>Procurement + Legal + IT</x:v>
      </x:c>
      <x:c r="N83" s="66" t="n">
        <x:f>IF($E83="Not Applicable","",$G83/5)</x:f>
        <x:v>0.2</x:v>
      </x:c>
      <x:c r="O83" s="55" t="str">
        <x:v>Create vendor DPDP review cadence.</x:v>
      </x:c>
      <x:c r="P83" s="55" t="str">
        <x:v>Vendor Governance Register</x:v>
      </x:c>
      <x:c r="Q83" s="55" t="str">
        <x:v>Vendor review records</x:v>
      </x:c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5" t="str">
        <x:v>CH1.1</x:v>
      </x:c>
      <x:c r="B84" s="55" t="str">
        <x:v>D14</x:v>
      </x:c>
      <x:c r="C84" s="55" t="str">
        <x:v>Children’s data and guardian consent</x:v>
      </x:c>
      <x:c r="D84" s="55" t="str">
        <x:v>Does the organisation process personal data of individuals below 18 years?</x:v>
      </x:c>
      <x:c r="E84" s="55" t="str">
        <x:v>Conditional</x:v>
      </x:c>
      <x:c r="F84" s="55" t="n">
        <x:v>1</x:v>
      </x:c>
      <x:c r="G84" s="55" t="n">
        <x:v>1</x:v>
      </x:c>
      <x:c r="H84" s="55" t="str">
        <x:v>Requested</x:v>
      </x:c>
      <x:c r="I84" s="55" t="str">
        <x:v>Yes</x:v>
      </x:c>
      <x:c r="J84" s="55" t="n">
        <x:f>IF($E84="Not Applicable","",IF($I84="No",MIN($F84,$G84,3),MIN($F84,$G84)))</x:f>
        <x:v>1</x:v>
      </x:c>
      <x:c r="K84" s="55" t="str">
        <x:f>IF($E84="Not Applicable","N/A",IF($J84&gt;=5,"No Gap",IF($J84&gt;=4,"Improvement",IF($J84&gt;=3,"Low",IF($J84&gt;=2,"Medium",IF($J84&gt;=1,"High","Critical"))))))</x:f>
        <x:v>High</x:v>
      </x:c>
      <x:c r="L84" s="55" t="str">
        <x:f>IF($K84="Critical","P0",IF($K84="High","P1",IF($K84="Medium","P2",IF($K84="Low","P3",IF($K84="Improvement","P3","Monitor")))))</x:f>
        <x:v>P1</x:v>
      </x:c>
      <x:c r="M84" s="55" t="str">
        <x:v>Admissions + Legal + IT</x:v>
      </x:c>
      <x:c r="N84" s="66" t="n">
        <x:f>IF($E84="Not Applicable","",$G84/5)</x:f>
        <x:v>0.2</x:v>
      </x:c>
      <x:c r="O84" s="55" t="str">
        <x:v>Assess whether under-18 personal data is processed.</x:v>
      </x:c>
      <x:c r="P84" s="55" t="str">
        <x:v>Children’s Data Checklist</x:v>
      </x:c>
      <x:c r="Q84" s="55" t="str">
        <x:v>Age analysis</x:v>
      </x:c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5" t="str">
        <x:v>CH1.2</x:v>
      </x:c>
      <x:c r="B85" s="55" t="str">
        <x:v>D14</x:v>
      </x:c>
      <x:c r="C85" s="55" t="str">
        <x:v>Children’s data and guardian consent</x:v>
      </x:c>
      <x:c r="D85" s="55" t="str">
        <x:v>Is there an age-identification or age-declaration mechanism where relevant?</x:v>
      </x:c>
      <x:c r="E85" s="55" t="str">
        <x:v>Conditional</x:v>
      </x:c>
      <x:c r="F85" s="55" t="n">
        <x:v>1</x:v>
      </x:c>
      <x:c r="G85" s="55" t="n">
        <x:v>1</x:v>
      </x:c>
      <x:c r="H85" s="55" t="str">
        <x:v>Requested</x:v>
      </x:c>
      <x:c r="I85" s="55" t="str">
        <x:v>Yes</x:v>
      </x:c>
      <x:c r="J85" s="55" t="n">
        <x:f>IF($E85="Not Applicable","",IF($I85="No",MIN($F85,$G85,3),MIN($F85,$G85)))</x:f>
        <x:v>1</x:v>
      </x:c>
      <x:c r="K85" s="55" t="str">
        <x:f>IF($E85="Not Applicable","N/A",IF($J85&gt;=5,"No Gap",IF($J85&gt;=4,"Improvement",IF($J85&gt;=3,"Low",IF($J85&gt;=2,"Medium",IF($J85&gt;=1,"High","Critical"))))))</x:f>
        <x:v>High</x:v>
      </x:c>
      <x:c r="L85" s="55" t="str">
        <x:f>IF($K85="Critical","P0",IF($K85="High","P1",IF($K85="Medium","P2",IF($K85="Low","P3",IF($K85="Improvement","P3","Monitor")))))</x:f>
        <x:v>P1</x:v>
      </x:c>
      <x:c r="M85" s="55" t="str">
        <x:v>Admissions + Legal + IT</x:v>
      </x:c>
      <x:c r="N85" s="66" t="n">
        <x:f>IF($E85="Not Applicable","",$G85/5)</x:f>
        <x:v>0.2</x:v>
      </x:c>
      <x:c r="O85" s="55" t="str">
        <x:v>Implement age identification/declaration where relevant.</x:v>
      </x:c>
      <x:c r="P85" s="55" t="str">
        <x:v>Children’s Data Checklist</x:v>
      </x:c>
      <x:c r="Q85" s="55" t="str">
        <x:v>Age-gate/declaration screenshots</x:v>
      </x:c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5" t="str">
        <x:v>CH1.3</x:v>
      </x:c>
      <x:c r="B86" s="55" t="str">
        <x:v>D14</x:v>
      </x:c>
      <x:c r="C86" s="55" t="str">
        <x:v>Children’s data and guardian consent</x:v>
      </x:c>
      <x:c r="D86" s="55" t="str">
        <x:v>Is verifiable parental/guardian consent obtained before processing children’s data where required?</x:v>
      </x:c>
      <x:c r="E86" s="55" t="str">
        <x:v>Conditional</x:v>
      </x:c>
      <x:c r="F86" s="55" t="n">
        <x:v>0</x:v>
      </x:c>
      <x:c r="G86" s="55" t="n">
        <x:v>0</x:v>
      </x:c>
      <x:c r="H86" s="55" t="str">
        <x:v>Not Provided</x:v>
      </x:c>
      <x:c r="I86" s="55" t="str">
        <x:v>Yes</x:v>
      </x:c>
      <x:c r="J86" s="55" t="n">
        <x:f>IF($E86="Not Applicable","",IF($I86="No",MIN($F86,$G86,3),MIN($F86,$G86)))</x:f>
        <x:v>0</x:v>
      </x:c>
      <x:c r="K86" s="55" t="str">
        <x:f>IF($E86="Not Applicable","N/A",IF($J86&gt;=5,"No Gap",IF($J86&gt;=4,"Improvement",IF($J86&gt;=3,"Low",IF($J86&gt;=2,"Medium",IF($J86&gt;=1,"High","Critical"))))))</x:f>
        <x:v>Critical</x:v>
      </x:c>
      <x:c r="L86" s="55" t="str">
        <x:f>IF($K86="Critical","P0",IF($K86="High","P1",IF($K86="Medium","P2",IF($K86="Low","P3",IF($K86="Improvement","P3","Monitor")))))</x:f>
        <x:v>P0</x:v>
      </x:c>
      <x:c r="M86" s="55" t="str">
        <x:v>Admissions + Legal + IT</x:v>
      </x:c>
      <x:c r="N86" s="66" t="n">
        <x:f>IF($E86="Not Applicable","",$G86/5)</x:f>
        <x:v>0</x:v>
      </x:c>
      <x:c r="O86" s="55" t="str">
        <x:v>Implement verifiable parental/guardian consent workflow.</x:v>
      </x:c>
      <x:c r="P86" s="55" t="str">
        <x:v>Children’s Data Checklist</x:v>
      </x:c>
      <x:c r="Q86" s="55" t="str">
        <x:v>Parent/guardian consent logs</x:v>
      </x:c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5" t="str">
        <x:v>CH1.4</x:v>
      </x:c>
      <x:c r="B87" s="55" t="str">
        <x:v>D14</x:v>
      </x:c>
      <x:c r="C87" s="55" t="str">
        <x:v>Children’s data and guardian consent</x:v>
      </x:c>
      <x:c r="D87" s="55" t="str">
        <x:v>Is children’s data protected from harmful processing, tracking, behavioural monitoring and targeted advertising?</x:v>
      </x:c>
      <x:c r="E87" s="55" t="str">
        <x:v>Conditional</x:v>
      </x:c>
      <x:c r="F87" s="55" t="n">
        <x:v>0</x:v>
      </x:c>
      <x:c r="G87" s="55" t="n">
        <x:v>0</x:v>
      </x:c>
      <x:c r="H87" s="55" t="str">
        <x:v>Not Provided</x:v>
      </x:c>
      <x:c r="I87" s="55" t="str">
        <x:v>Yes</x:v>
      </x:c>
      <x:c r="J87" s="55" t="n">
        <x:f>IF($E87="Not Applicable","",IF($I87="No",MIN($F87,$G87,3),MIN($F87,$G87)))</x:f>
        <x:v>0</x:v>
      </x:c>
      <x:c r="K87" s="55" t="str">
        <x:f>IF($E87="Not Applicable","N/A",IF($J87&gt;=5,"No Gap",IF($J87&gt;=4,"Improvement",IF($J87&gt;=3,"Low",IF($J87&gt;=2,"Medium",IF($J87&gt;=1,"High","Critical"))))))</x:f>
        <x:v>Critical</x:v>
      </x:c>
      <x:c r="L87" s="55" t="str">
        <x:f>IF($K87="Critical","P0",IF($K87="High","P1",IF($K87="Medium","P2",IF($K87="Low","P3",IF($K87="Improvement","P3","Monitor")))))</x:f>
        <x:v>P0</x:v>
      </x:c>
      <x:c r="M87" s="55" t="str">
        <x:v>Admissions + Legal + IT</x:v>
      </x:c>
      <x:c r="N87" s="66" t="n">
        <x:f>IF($E87="Not Applicable","",$G87/5)</x:f>
        <x:v>0</x:v>
      </x:c>
      <x:c r="O87" s="55" t="str">
        <x:v>Stop or control prohibited/high-risk child-data processing.</x:v>
      </x:c>
      <x:c r="P87" s="55" t="str">
        <x:v>Children’s Data Checklist</x:v>
      </x:c>
      <x:c r="Q87" s="55" t="str">
        <x:v>Policy / system controls</x:v>
      </x:c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5" t="str">
        <x:v>CH1.5</x:v>
      </x:c>
      <x:c r="B88" s="55" t="str">
        <x:v>D14</x:v>
      </x:c>
      <x:c r="C88" s="55" t="str">
        <x:v>Children’s data and guardian consent</x:v>
      </x:c>
      <x:c r="D88" s="55" t="str">
        <x:v>Are vendors processing children’s data subject to specific restrictions and safeguards?</x:v>
      </x:c>
      <x:c r="E88" s="55" t="str">
        <x:v>Conditional</x:v>
      </x:c>
      <x:c r="F88" s="55" t="n">
        <x:v>1</x:v>
      </x:c>
      <x:c r="G88" s="55" t="n">
        <x:v>1</x:v>
      </x:c>
      <x:c r="H88" s="55" t="str">
        <x:v>Requested</x:v>
      </x:c>
      <x:c r="I88" s="55" t="str">
        <x:v>Yes</x:v>
      </x:c>
      <x:c r="J88" s="55" t="n">
        <x:f>IF($E88="Not Applicable","",IF($I88="No",MIN($F88,$G88,3),MIN($F88,$G88)))</x:f>
        <x:v>1</x:v>
      </x:c>
      <x:c r="K88" s="55" t="str">
        <x:f>IF($E88="Not Applicable","N/A",IF($J88&gt;=5,"No Gap",IF($J88&gt;=4,"Improvement",IF($J88&gt;=3,"Low",IF($J88&gt;=2,"Medium",IF($J88&gt;=1,"High","Critical"))))))</x:f>
        <x:v>High</x:v>
      </x:c>
      <x:c r="L88" s="55" t="str">
        <x:f>IF($K88="Critical","P0",IF($K88="High","P1",IF($K88="Medium","P2",IF($K88="Low","P3",IF($K88="Improvement","P3","Monitor")))))</x:f>
        <x:v>P1</x:v>
      </x:c>
      <x:c r="M88" s="55" t="str">
        <x:v>Admissions + Legal + IT</x:v>
      </x:c>
      <x:c r="N88" s="66" t="n">
        <x:f>IF($E88="Not Applicable","",$G88/5)</x:f>
        <x:v>0.2</x:v>
      </x:c>
      <x:c r="O88" s="55" t="str">
        <x:v>Add children’s-data restrictions and safeguards to vendors.</x:v>
      </x:c>
      <x:c r="P88" s="55" t="str">
        <x:v>Children’s Data Checklist</x:v>
      </x:c>
      <x:c r="Q88" s="55" t="str">
        <x:v>Vendor clauses</x:v>
      </x:c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5" t="str">
        <x:v>CB1.1</x:v>
      </x:c>
      <x:c r="B89" s="55" t="str">
        <x:v>D15</x:v>
      </x:c>
      <x:c r="C89" s="55" t="str">
        <x:v>Cross-border transfer and cloud/SaaS risk</x:v>
      </x:c>
      <x:c r="D89" s="55" t="str">
        <x:v>Does the organisation know whether personal data is stored, accessed or processed outside India?</x:v>
      </x:c>
      <x:c r="E89" s="55" t="str">
        <x:v>Conditional</x:v>
      </x:c>
      <x:c r="F89" s="55" t="n">
        <x:v>2</x:v>
      </x:c>
      <x:c r="G89" s="55" t="n">
        <x:v>1</x:v>
      </x:c>
      <x:c r="H89" s="55" t="str">
        <x:v>Requested</x:v>
      </x:c>
      <x:c r="I89" s="55" t="str">
        <x:v>Yes</x:v>
      </x:c>
      <x:c r="J89" s="55" t="n">
        <x:f>IF($E89="Not Applicable","",IF($I89="No",MIN($F89,$G89,3),MIN($F89,$G89)))</x:f>
        <x:v>1</x:v>
      </x:c>
      <x:c r="K89" s="55" t="str">
        <x:f>IF($E89="Not Applicable","N/A",IF($J89&gt;=5,"No Gap",IF($J89&gt;=4,"Improvement",IF($J89&gt;=3,"Low",IF($J89&gt;=2,"Medium",IF($J89&gt;=1,"High","Critical"))))))</x:f>
        <x:v>High</x:v>
      </x:c>
      <x:c r="L89" s="55" t="str">
        <x:f>IF($K89="Critical","P0",IF($K89="High","P1",IF($K89="Medium","P2",IF($K89="Low","P3",IF($K89="Improvement","P3","Monitor")))))</x:f>
        <x:v>P1</x:v>
      </x:c>
      <x:c r="M89" s="55" t="str">
        <x:v>IT + Procurement + Legal</x:v>
      </x:c>
      <x:c r="N89" s="66" t="n">
        <x:f>IF($E89="Not Applicable","",$G89/5)</x:f>
        <x:v>0.2</x:v>
      </x:c>
      <x:c r="O89" s="55" t="str">
        <x:v>Map storage, access and processing locations.</x:v>
      </x:c>
      <x:c r="P89" s="55" t="str">
        <x:v>Cross-Border Transfer Register</x:v>
      </x:c>
      <x:c r="Q89" s="55" t="str">
        <x:v>Cloud/SaaS location map</x:v>
      </x:c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5" t="str">
        <x:v>CB1.2</x:v>
      </x:c>
      <x:c r="B90" s="55" t="str">
        <x:v>D15</x:v>
      </x:c>
      <x:c r="C90" s="55" t="str">
        <x:v>Cross-border transfer and cloud/SaaS risk</x:v>
      </x:c>
      <x:c r="D90" s="55" t="str">
        <x:v>Are foreign SaaS, cloud, email, analytics, CRM, LMS, AI or support vendors identified?</x:v>
      </x:c>
      <x:c r="E90" s="55" t="str">
        <x:v>Conditional</x:v>
      </x:c>
      <x:c r="F90" s="55" t="n">
        <x:v>2</x:v>
      </x:c>
      <x:c r="G90" s="55" t="n">
        <x:v>1</x:v>
      </x:c>
      <x:c r="H90" s="55" t="str">
        <x:v>Requested</x:v>
      </x:c>
      <x:c r="I90" s="55" t="str">
        <x:v>Yes</x:v>
      </x:c>
      <x:c r="J90" s="55" t="n">
        <x:f>IF($E90="Not Applicable","",IF($I90="No",MIN($F90,$G90,3),MIN($F90,$G90)))</x:f>
        <x:v>1</x:v>
      </x:c>
      <x:c r="K90" s="55" t="str">
        <x:f>IF($E90="Not Applicable","N/A",IF($J90&gt;=5,"No Gap",IF($J90&gt;=4,"Improvement",IF($J90&gt;=3,"Low",IF($J90&gt;=2,"Medium",IF($J90&gt;=1,"High","Critical"))))))</x:f>
        <x:v>High</x:v>
      </x:c>
      <x:c r="L90" s="55" t="str">
        <x:f>IF($K90="Critical","P0",IF($K90="High","P1",IF($K90="Medium","P2",IF($K90="Low","P3",IF($K90="Improvement","P3","Monitor")))))</x:f>
        <x:v>P1</x:v>
      </x:c>
      <x:c r="M90" s="55" t="str">
        <x:v>IT + Procurement + Legal</x:v>
      </x:c>
      <x:c r="N90" s="66" t="n">
        <x:f>IF($E90="Not Applicable","",$G90/5)</x:f>
        <x:v>0.2</x:v>
      </x:c>
      <x:c r="O90" s="55" t="str">
        <x:v>Identify foreign or remote-access vendors.</x:v>
      </x:c>
      <x:c r="P90" s="55" t="str">
        <x:v>Cross-Border Transfer Register</x:v>
      </x:c>
      <x:c r="Q90" s="55" t="str">
        <x:v>Vendor location register</x:v>
      </x:c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5" t="str">
        <x:v>CB1.3</x:v>
      </x:c>
      <x:c r="B91" s="55" t="str">
        <x:v>D15</x:v>
      </x:c>
      <x:c r="C91" s="55" t="str">
        <x:v>Cross-border transfer and cloud/SaaS risk</x:v>
      </x:c>
      <x:c r="D91" s="55" t="str">
        <x:v>Are contracts reviewed for data location, foreign access and transfer restrictions?</x:v>
      </x:c>
      <x:c r="E91" s="55" t="str">
        <x:v>Conditional</x:v>
      </x:c>
      <x:c r="F91" s="55" t="n">
        <x:v>2</x:v>
      </x:c>
      <x:c r="G91" s="55" t="n">
        <x:v>1</x:v>
      </x:c>
      <x:c r="H91" s="55" t="str">
        <x:v>Requested</x:v>
      </x:c>
      <x:c r="I91" s="55" t="str">
        <x:v>Yes</x:v>
      </x:c>
      <x:c r="J91" s="55" t="n">
        <x:f>IF($E91="Not Applicable","",IF($I91="No",MIN($F91,$G91,3),MIN($F91,$G91)))</x:f>
        <x:v>1</x:v>
      </x:c>
      <x:c r="K91" s="55" t="str">
        <x:f>IF($E91="Not Applicable","N/A",IF($J91&gt;=5,"No Gap",IF($J91&gt;=4,"Improvement",IF($J91&gt;=3,"Low",IF($J91&gt;=2,"Medium",IF($J91&gt;=1,"High","Critical"))))))</x:f>
        <x:v>High</x:v>
      </x:c>
      <x:c r="L91" s="55" t="str">
        <x:f>IF($K91="Critical","P0",IF($K91="High","P1",IF($K91="Medium","P2",IF($K91="Low","P3",IF($K91="Improvement","P3","Monitor")))))</x:f>
        <x:v>P1</x:v>
      </x:c>
      <x:c r="M91" s="55" t="str">
        <x:v>IT + Procurement + Legal</x:v>
      </x:c>
      <x:c r="N91" s="66" t="n">
        <x:f>IF($E91="Not Applicable","",$G91/5)</x:f>
        <x:v>0.2</x:v>
      </x:c>
      <x:c r="O91" s="55" t="str">
        <x:v>Review and update transfer/data-location clauses.</x:v>
      </x:c>
      <x:c r="P91" s="55" t="str">
        <x:v>Cross-Border Transfer Register</x:v>
      </x:c>
      <x:c r="Q91" s="55" t="str">
        <x:v>Contract review record</x:v>
      </x:c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5" t="str">
        <x:v>CB1.4</x:v>
      </x:c>
      <x:c r="B92" s="55" t="str">
        <x:v>D15</x:v>
      </x:c>
      <x:c r="C92" s="55" t="str">
        <x:v>Cross-border transfer and cloud/SaaS risk</x:v>
      </x:c>
      <x:c r="D92" s="55" t="str">
        <x:v>Are backups, logs and support access locations included in transfer assessment?</x:v>
      </x:c>
      <x:c r="E92" s="55" t="str">
        <x:v>Conditional</x:v>
      </x:c>
      <x:c r="F92" s="55" t="n">
        <x:v>2</x:v>
      </x:c>
      <x:c r="G92" s="55" t="n">
        <x:v>1</x:v>
      </x:c>
      <x:c r="H92" s="55" t="str">
        <x:v>Requested</x:v>
      </x:c>
      <x:c r="I92" s="55" t="str">
        <x:v>Yes</x:v>
      </x:c>
      <x:c r="J92" s="55" t="n">
        <x:f>IF($E92="Not Applicable","",IF($I92="No",MIN($F92,$G92,3),MIN($F92,$G92)))</x:f>
        <x:v>1</x:v>
      </x:c>
      <x:c r="K92" s="55" t="str">
        <x:f>IF($E92="Not Applicable","N/A",IF($J92&gt;=5,"No Gap",IF($J92&gt;=4,"Improvement",IF($J92&gt;=3,"Low",IF($J92&gt;=2,"Medium",IF($J92&gt;=1,"High","Critical"))))))</x:f>
        <x:v>High</x:v>
      </x:c>
      <x:c r="L92" s="55" t="str">
        <x:f>IF($K92="Critical","P0",IF($K92="High","P1",IF($K92="Medium","P2",IF($K92="Low","P3",IF($K92="Improvement","P3","Monitor")))))</x:f>
        <x:v>P1</x:v>
      </x:c>
      <x:c r="M92" s="55" t="str">
        <x:v>IT + Procurement + Legal</x:v>
      </x:c>
      <x:c r="N92" s="66" t="n">
        <x:f>IF($E92="Not Applicable","",$G92/5)</x:f>
        <x:v>0.2</x:v>
      </x:c>
      <x:c r="O92" s="55" t="str">
        <x:v>Include backups, logs and support locations in assessment.</x:v>
      </x:c>
      <x:c r="P92" s="55" t="str">
        <x:v>Cross-Border Transfer Register</x:v>
      </x:c>
      <x:c r="Q92" s="55" t="str">
        <x:v>Architecture/support-access review</x:v>
      </x:c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5" t="str">
        <x:v>CB1.5</x:v>
      </x:c>
      <x:c r="B93" s="55" t="str">
        <x:v>D15</x:v>
      </x:c>
      <x:c r="C93" s="55" t="str">
        <x:v>Cross-border transfer and cloud/SaaS risk</x:v>
      </x:c>
      <x:c r="D93" s="55" t="str">
        <x:v>Is there a process to respond to future Government transfer restrictions?</x:v>
      </x:c>
      <x:c r="E93" s="55" t="str">
        <x:v>Conditional</x:v>
      </x:c>
      <x:c r="F93" s="55" t="n">
        <x:v>2</x:v>
      </x:c>
      <x:c r="G93" s="55" t="n">
        <x:v>1</x:v>
      </x:c>
      <x:c r="H93" s="55" t="str">
        <x:v>Requested</x:v>
      </x:c>
      <x:c r="I93" s="55" t="str">
        <x:v>Yes</x:v>
      </x:c>
      <x:c r="J93" s="55" t="n">
        <x:f>IF($E93="Not Applicable","",IF($I93="No",MIN($F93,$G93,3),MIN($F93,$G93)))</x:f>
        <x:v>1</x:v>
      </x:c>
      <x:c r="K93" s="55" t="str">
        <x:f>IF($E93="Not Applicable","N/A",IF($J93&gt;=5,"No Gap",IF($J93&gt;=4,"Improvement",IF($J93&gt;=3,"Low",IF($J93&gt;=2,"Medium",IF($J93&gt;=1,"High","Critical"))))))</x:f>
        <x:v>High</x:v>
      </x:c>
      <x:c r="L93" s="55" t="str">
        <x:f>IF($K93="Critical","P0",IF($K93="High","P1",IF($K93="Medium","P2",IF($K93="Low","P3",IF($K93="Improvement","P3","Monitor")))))</x:f>
        <x:v>P1</x:v>
      </x:c>
      <x:c r="M93" s="55" t="str">
        <x:v>IT + Procurement + Legal</x:v>
      </x:c>
      <x:c r="N93" s="66" t="n">
        <x:f>IF($E93="Not Applicable","",$G93/5)</x:f>
        <x:v>0.2</x:v>
      </x:c>
      <x:c r="O93" s="55" t="str">
        <x:v>Create transfer-monitoring SOP.</x:v>
      </x:c>
      <x:c r="P93" s="55" t="str">
        <x:v>Cross-Border Transfer Register</x:v>
      </x:c>
      <x:c r="Q93" s="55" t="str">
        <x:v>Cross-border transfer SOP</x:v>
      </x:c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5" t="str">
        <x:v>SDF1.1</x:v>
      </x:c>
      <x:c r="B94" s="55" t="str">
        <x:v>D16</x:v>
      </x:c>
      <x:c r="C94" s="55" t="str">
        <x:v>SDF, DPIA, audit and AI/algorithmic risk readiness</x:v>
      </x:c>
      <x:c r="D94" s="55" t="str">
        <x:v>Has the organisation assessed whether Significant Data Fiduciary obligations may become relevant?</x:v>
      </x:c>
      <x:c r="E94" s="55" t="str">
        <x:v>Conditional</x:v>
      </x:c>
      <x:c r="F94" s="55" t="n">
        <x:v>1</x:v>
      </x:c>
      <x:c r="G94" s="55" t="n">
        <x:v>1</x:v>
      </x:c>
      <x:c r="H94" s="55" t="str">
        <x:v>Requested</x:v>
      </x:c>
      <x:c r="I94" s="55" t="str">
        <x:v>Yes</x:v>
      </x:c>
      <x:c r="J94" s="55" t="n">
        <x:f>IF($E94="Not Applicable","",IF($I94="No",MIN($F94,$G94,3),MIN($F94,$G94)))</x:f>
        <x:v>1</x:v>
      </x:c>
      <x:c r="K94" s="55" t="str">
        <x:f>IF($E94="Not Applicable","N/A",IF($J94&gt;=5,"No Gap",IF($J94&gt;=4,"Improvement",IF($J94&gt;=3,"Low",IF($J94&gt;=2,"Medium",IF($J94&gt;=1,"High","Critical"))))))</x:f>
        <x:v>High</x:v>
      </x:c>
      <x:c r="L94" s="55" t="str">
        <x:f>IF($K94="Critical","P0",IF($K94="High","P1",IF($K94="Medium","P2",IF($K94="Low","P3",IF($K94="Improvement","P3","Monitor")))))</x:f>
        <x:v>P1</x:v>
      </x:c>
      <x:c r="M94" s="55" t="str">
        <x:v>Legal + AI Governance + IT</x:v>
      </x:c>
      <x:c r="N94" s="66" t="n">
        <x:f>IF($E94="Not Applicable","",$G94/5)</x:f>
        <x:v>0.2</x:v>
      </x:c>
      <x:c r="O94" s="55" t="str">
        <x:v>Prepare SDF readiness note.</x:v>
      </x:c>
      <x:c r="P94" s="55" t="str">
        <x:v>DPIA / AI Risk Register</x:v>
      </x:c>
      <x:c r="Q94" s="55" t="str">
        <x:v>SDF readiness note</x:v>
      </x:c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5" t="str">
        <x:v>SDF1.2</x:v>
      </x:c>
      <x:c r="B95" s="55" t="str">
        <x:v>D16</x:v>
      </x:c>
      <x:c r="C95" s="55" t="str">
        <x:v>SDF, DPIA, audit and AI/algorithmic risk readiness</x:v>
      </x:c>
      <x:c r="D95" s="55" t="str">
        <x:v>Is there a DPO-like or privacy leadership role even if formal SDF notification has not occurred?</x:v>
      </x:c>
      <x:c r="E95" s="55" t="str">
        <x:v>Conditional</x:v>
      </x:c>
      <x:c r="F95" s="55" t="n">
        <x:v>1</x:v>
      </x:c>
      <x:c r="G95" s="55" t="n">
        <x:v>1</x:v>
      </x:c>
      <x:c r="H95" s="55" t="str">
        <x:v>Requested</x:v>
      </x:c>
      <x:c r="I95" s="55" t="str">
        <x:v>Yes</x:v>
      </x:c>
      <x:c r="J95" s="55" t="n">
        <x:f>IF($E95="Not Applicable","",IF($I95="No",MIN($F95,$G95,3),MIN($F95,$G95)))</x:f>
        <x:v>1</x:v>
      </x:c>
      <x:c r="K95" s="55" t="str">
        <x:f>IF($E95="Not Applicable","N/A",IF($J95&gt;=5,"No Gap",IF($J95&gt;=4,"Improvement",IF($J95&gt;=3,"Low",IF($J95&gt;=2,"Medium",IF($J95&gt;=1,"High","Critical"))))))</x:f>
        <x:v>High</x:v>
      </x:c>
      <x:c r="L95" s="55" t="str">
        <x:f>IF($K95="Critical","P0",IF($K95="High","P1",IF($K95="Medium","P2",IF($K95="Low","P3",IF($K95="Improvement","P3","Monitor")))))</x:f>
        <x:v>P1</x:v>
      </x:c>
      <x:c r="M95" s="55" t="str">
        <x:v>Legal + AI Governance + IT</x:v>
      </x:c>
      <x:c r="N95" s="66" t="n">
        <x:f>IF($E95="Not Applicable","",$G95/5)</x:f>
        <x:v>0.2</x:v>
      </x:c>
      <x:c r="O95" s="55" t="str">
        <x:v>Define privacy leadership role.</x:v>
      </x:c>
      <x:c r="P95" s="55" t="str">
        <x:v>DPIA / AI Risk Register</x:v>
      </x:c>
      <x:c r="Q95" s="55" t="str">
        <x:v>Role charter</x:v>
      </x:c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5" t="str">
        <x:v>SDF1.3</x:v>
      </x:c>
      <x:c r="B96" s="55" t="str">
        <x:v>D16</x:v>
      </x:c>
      <x:c r="C96" s="55" t="str">
        <x:v>SDF, DPIA, audit and AI/algorithmic risk readiness</x:v>
      </x:c>
      <x:c r="D96" s="55" t="str">
        <x:v>Is the organisation prepared to conduct DPIA for high-risk processing?</x:v>
      </x:c>
      <x:c r="E96" s="55" t="str">
        <x:v>Conditional</x:v>
      </x:c>
      <x:c r="F96" s="55" t="n">
        <x:v>1</x:v>
      </x:c>
      <x:c r="G96" s="55" t="n">
        <x:v>1</x:v>
      </x:c>
      <x:c r="H96" s="55" t="str">
        <x:v>Requested</x:v>
      </x:c>
      <x:c r="I96" s="55" t="str">
        <x:v>Yes</x:v>
      </x:c>
      <x:c r="J96" s="55" t="n">
        <x:f>IF($E96="Not Applicable","",IF($I96="No",MIN($F96,$G96,3),MIN($F96,$G96)))</x:f>
        <x:v>1</x:v>
      </x:c>
      <x:c r="K96" s="55" t="str">
        <x:f>IF($E96="Not Applicable","N/A",IF($J96&gt;=5,"No Gap",IF($J96&gt;=4,"Improvement",IF($J96&gt;=3,"Low",IF($J96&gt;=2,"Medium",IF($J96&gt;=1,"High","Critical"))))))</x:f>
        <x:v>High</x:v>
      </x:c>
      <x:c r="L96" s="55" t="str">
        <x:f>IF($K96="Critical","P0",IF($K96="High","P1",IF($K96="Medium","P2",IF($K96="Low","P3",IF($K96="Improvement","P3","Monitor")))))</x:f>
        <x:v>P1</x:v>
      </x:c>
      <x:c r="M96" s="55" t="str">
        <x:v>Legal + AI Governance + IT</x:v>
      </x:c>
      <x:c r="N96" s="66" t="n">
        <x:f>IF($E96="Not Applicable","",$G96/5)</x:f>
        <x:v>0.2</x:v>
      </x:c>
      <x:c r="O96" s="55" t="str">
        <x:v>Create DPIA template and trigger criteria.</x:v>
      </x:c>
      <x:c r="P96" s="55" t="str">
        <x:v>DPIA / AI Risk Register</x:v>
      </x:c>
      <x:c r="Q96" s="55" t="str">
        <x:v>DPIA template</x:v>
      </x:c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5" t="str">
        <x:v>SDF1.4</x:v>
      </x:c>
      <x:c r="B97" s="55" t="str">
        <x:v>D16</x:v>
      </x:c>
      <x:c r="C97" s="55" t="str">
        <x:v>SDF, DPIA, audit and AI/algorithmic risk readiness</x:v>
      </x:c>
      <x:c r="D97" s="55" t="str">
        <x:v>Is there a process for periodic audit of DPDP controls?</x:v>
      </x:c>
      <x:c r="E97" s="55" t="str">
        <x:v>Conditional</x:v>
      </x:c>
      <x:c r="F97" s="55" t="n">
        <x:v>1</x:v>
      </x:c>
      <x:c r="G97" s="55" t="n">
        <x:v>1</x:v>
      </x:c>
      <x:c r="H97" s="55" t="str">
        <x:v>Requested</x:v>
      </x:c>
      <x:c r="I97" s="55" t="str">
        <x:v>Yes</x:v>
      </x:c>
      <x:c r="J97" s="55" t="n">
        <x:f>IF($E97="Not Applicable","",IF($I97="No",MIN($F97,$G97,3),MIN($F97,$G97)))</x:f>
        <x:v>1</x:v>
      </x:c>
      <x:c r="K97" s="55" t="str">
        <x:f>IF($E97="Not Applicable","N/A",IF($J97&gt;=5,"No Gap",IF($J97&gt;=4,"Improvement",IF($J97&gt;=3,"Low",IF($J97&gt;=2,"Medium",IF($J97&gt;=1,"High","Critical"))))))</x:f>
        <x:v>High</x:v>
      </x:c>
      <x:c r="L97" s="55" t="str">
        <x:f>IF($K97="Critical","P0",IF($K97="High","P1",IF($K97="Medium","P2",IF($K97="Low","P3",IF($K97="Improvement","P3","Monitor")))))</x:f>
        <x:v>P1</x:v>
      </x:c>
      <x:c r="M97" s="55" t="str">
        <x:v>Legal + AI Governance + IT</x:v>
      </x:c>
      <x:c r="N97" s="66" t="n">
        <x:f>IF($E97="Not Applicable","",$G97/5)</x:f>
        <x:v>0.2</x:v>
      </x:c>
      <x:c r="O97" s="55" t="str">
        <x:v>Create DPDP audit/review plan.</x:v>
      </x:c>
      <x:c r="P97" s="55" t="str">
        <x:v>DPIA / AI Risk Register</x:v>
      </x:c>
      <x:c r="Q97" s="55" t="str">
        <x:v>Audit plan</x:v>
      </x:c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5" t="str">
        <x:v>SDF1.5</x:v>
      </x:c>
      <x:c r="B98" s="55" t="str">
        <x:v>D16</x:v>
      </x:c>
      <x:c r="C98" s="55" t="str">
        <x:v>SDF, DPIA, audit and AI/algorithmic risk readiness</x:v>
      </x:c>
      <x:c r="D98" s="55" t="str">
        <x:v>Are AI systems, analytics tools, automated decision systems and algorithmic software reviewed for privacy risk?</x:v>
      </x:c>
      <x:c r="E98" s="55" t="str">
        <x:v>Conditional</x:v>
      </x:c>
      <x:c r="F98" s="55" t="n">
        <x:v>1</x:v>
      </x:c>
      <x:c r="G98" s="55" t="n">
        <x:v>1</x:v>
      </x:c>
      <x:c r="H98" s="55" t="str">
        <x:v>Requested</x:v>
      </x:c>
      <x:c r="I98" s="55" t="str">
        <x:v>Yes</x:v>
      </x:c>
      <x:c r="J98" s="55" t="n">
        <x:f>IF($E98="Not Applicable","",IF($I98="No",MIN($F98,$G98,3),MIN($F98,$G98)))</x:f>
        <x:v>1</x:v>
      </x:c>
      <x:c r="K98" s="55" t="str">
        <x:f>IF($E98="Not Applicable","N/A",IF($J98&gt;=5,"No Gap",IF($J98&gt;=4,"Improvement",IF($J98&gt;=3,"Low",IF($J98&gt;=2,"Medium",IF($J98&gt;=1,"High","Critical"))))))</x:f>
        <x:v>High</x:v>
      </x:c>
      <x:c r="L98" s="55" t="str">
        <x:f>IF($K98="Critical","P0",IF($K98="High","P1",IF($K98="Medium","P2",IF($K98="Low","P3",IF($K98="Improvement","P3","Monitor")))))</x:f>
        <x:v>P1</x:v>
      </x:c>
      <x:c r="M98" s="55" t="str">
        <x:v>Legal + AI Governance + IT</x:v>
      </x:c>
      <x:c r="N98" s="66" t="n">
        <x:f>IF($E98="Not Applicable","",$G98/5)</x:f>
        <x:v>0.2</x:v>
      </x:c>
      <x:c r="O98" s="55" t="str">
        <x:v>Create AI system register and privacy risk review.</x:v>
      </x:c>
      <x:c r="P98" s="55" t="str">
        <x:v>DPIA / AI Risk Register</x:v>
      </x:c>
      <x:c r="Q98" s="55" t="str">
        <x:v>AI system register</x:v>
      </x:c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5" t="str">
        <x:v>SDF1.6</x:v>
      </x:c>
      <x:c r="B99" s="55" t="str">
        <x:v>D16</x:v>
      </x:c>
      <x:c r="C99" s="55" t="str">
        <x:v>SDF, DPIA, audit and AI/algorithmic risk readiness</x:v>
      </x:c>
      <x:c r="D99" s="55" t="str">
        <x:v>Are high-impact automated decisions reviewed for fairness, explainability, accuracy and risk to Data Principal rights?</x:v>
      </x:c>
      <x:c r="E99" s="55" t="str">
        <x:v>Conditional</x:v>
      </x:c>
      <x:c r="F99" s="55" t="n">
        <x:v>1</x:v>
      </x:c>
      <x:c r="G99" s="55" t="n">
        <x:v>1</x:v>
      </x:c>
      <x:c r="H99" s="55" t="str">
        <x:v>Requested</x:v>
      </x:c>
      <x:c r="I99" s="55" t="str">
        <x:v>Yes</x:v>
      </x:c>
      <x:c r="J99" s="55" t="n">
        <x:f>IF($E99="Not Applicable","",IF($I99="No",MIN($F99,$G99,3),MIN($F99,$G99)))</x:f>
        <x:v>1</x:v>
      </x:c>
      <x:c r="K99" s="55" t="str">
        <x:f>IF($E99="Not Applicable","N/A",IF($J99&gt;=5,"No Gap",IF($J99&gt;=4,"Improvement",IF($J99&gt;=3,"Low",IF($J99&gt;=2,"Medium",IF($J99&gt;=1,"High","Critical"))))))</x:f>
        <x:v>High</x:v>
      </x:c>
      <x:c r="L99" s="55" t="str">
        <x:f>IF($K99="Critical","P0",IF($K99="High","P1",IF($K99="Medium","P2",IF($K99="Low","P3",IF($K99="Improvement","P3","Monitor")))))</x:f>
        <x:v>P1</x:v>
      </x:c>
      <x:c r="M99" s="55" t="str">
        <x:v>Legal + AI Governance + IT</x:v>
      </x:c>
      <x:c r="N99" s="66" t="n">
        <x:f>IF($E99="Not Applicable","",$G99/5)</x:f>
        <x:v>0.2</x:v>
      </x:c>
      <x:c r="O99" s="55" t="str">
        <x:v>Review automated decisions for privacy and Data Principal risk.</x:v>
      </x:c>
      <x:c r="P99" s="55" t="str">
        <x:v>DPIA / AI Risk Register</x:v>
      </x:c>
      <x:c r="Q99" s="55" t="str">
        <x:v>AI risk assessment</x:v>
      </x:c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67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67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67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67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67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67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67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67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67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67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67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67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67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67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67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67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67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67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67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67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67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67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67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67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67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67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67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67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67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67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67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67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67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67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67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67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67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67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67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67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67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67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67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67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67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67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67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67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67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67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67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67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67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67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67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67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67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67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67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67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67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67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67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67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67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67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67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67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67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67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67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67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67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67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67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67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67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67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67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67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67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67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67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67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67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67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67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67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67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67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67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67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67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67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67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67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67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67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67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67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67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conditionalFormatting sqref="K2:K99">
    <x:cfRule type="expression" dxfId="0" priority="1">
      <x:formula>K2="Critical"</x:formula>
    </x:cfRule>
    <x:cfRule type="expression" dxfId="1" priority="2">
      <x:formula>K2="High"</x:formula>
    </x:cfRule>
    <x:cfRule type="expression" dxfId="2" priority="3">
      <x:formula>K2="Medium"</x:formula>
    </x:cfRule>
  </x:conditionalFormatting>
  <x:dataValidations count="5">
    <x:dataValidation type="list" sqref="E2:E99">
      <x:formula1>"Applicable,Conditional,Not Applicable"</x:formula1>
    </x:dataValidation>
    <x:dataValidation type="list" sqref="F2:F99">
      <x:formula1>"0,1,2,3,4,5"</x:formula1>
    </x:dataValidation>
    <x:dataValidation type="list" sqref="G2:G99">
      <x:formula1>"0,1,2,3,4,5"</x:formula1>
    </x:dataValidation>
    <x:dataValidation type="list" sqref="H2:H99">
      <x:formula1>"Not Provided,Requested,Submitted,Partial,Adequate,Strong,Outdated,Rejected"</x:formula1>
    </x:dataValidation>
    <x:dataValidation type="list" sqref="I2:I9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2442742e5d4d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0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30" hidden="0" customWidth="1"/>
    <x:col min="9" max="9" width="12" hidden="0" customWidth="1"/>
    <x:col min="10" max="10" width="12" hidden="0" customWidth="1"/>
    <x:col min="11" max="11" width="18" hidden="0" customWidth="1"/>
    <x:col min="12" max="12" width="15" hidden="0" customWidth="1"/>
  </x:cols>
  <x:sheetData>
    <x:row r="1">
      <x:c r="A1" s="63" t="str">
        <x:v>Domain ID</x:v>
      </x:c>
      <x:c r="B1" s="63" t="str">
        <x:v>Domain</x:v>
      </x:c>
      <x:c r="C1" s="63" t="str">
        <x:v>Weight</x:v>
      </x:c>
      <x:c r="D1" s="63" t="str">
        <x:v>Applicable Questions</x:v>
      </x:c>
      <x:c r="E1" s="63" t="str">
        <x:v>Avg Adjusted Score</x:v>
      </x:c>
      <x:c r="F1" s="63" t="str">
        <x:v>Domain Score</x:v>
      </x:c>
      <x:c r="G1" s="63" t="str">
        <x:v>Domain %</x:v>
      </x:c>
      <x:c r="H1" s="63" t="str">
        <x:v>Maturity Level</x:v>
      </x:c>
      <x:c r="I1" s="63" t="str">
        <x:v>Critical Gaps</x:v>
      </x:c>
      <x:c r="J1" s="63" t="str">
        <x:v>High Gaps</x:v>
      </x:c>
      <x:c r="K1" s="63" t="str">
        <x:v>Evidence Confidence</x:v>
      </x:c>
      <x:c r="L1" s="63" t="str">
        <x:v>Status</x:v>
      </x:c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D01</x:v>
      </x:c>
      <x:c r="B2" s="55" t="str">
        <x:v>Governance, accountability and DPDP ownership</x:v>
      </x:c>
      <x:c r="C2" s="55" t="n">
        <x:v>7</x:v>
      </x:c>
      <x:c r="D2" s="55" t="n">
        <x:f>COUNTIFS(Responses!$B:$B,$A2,Responses!$E:$E,"&lt;&gt;Not Applicable")</x:f>
        <x:v>7</x:v>
      </x:c>
      <x:c r="E2" s="55" t="n">
        <x:f>IF($D2=0,0,SUMIFS(Responses!$J:$J,Responses!$B:$B,$A2,Responses!$E:$E,"&lt;&gt;Not Applicable")/$D2)</x:f>
        <x:v>1.8571428571428572</x:v>
      </x:c>
      <x:c r="F2" s="70" t="n">
        <x:f>($E2/5)*$C2</x:f>
        <x:v>2.6</x:v>
      </x:c>
      <x:c r="G2" s="66" t="n">
        <x:f>IF($C2=0,0,$F2/$C2)</x:f>
        <x:v>0.37142857142857144</x:v>
      </x:c>
      <x:c r="H2" s="55" t="str">
        <x:f>IF($G2&lt;=0.2,"Level 0 - Not Started",IF($G2&lt;=0.4,"Level 1 - Aware",IF($G2&lt;=0.6,"Level 2 - Defined",IF($G2&lt;=0.75,"Level 3 - Implementing",IF($G2&lt;=0.9,"Level 4 - Operational","Level 5 - Continuous Assurance")))))</x:f>
        <x:v>Level 1 - Aware</x:v>
      </x:c>
      <x:c r="I2" s="55" t="n">
        <x:f>COUNTIFS(Responses!$B:$B,$A2,Responses!$K:$K,"Critical")</x:f>
        <x:v>0</x:v>
      </x:c>
      <x:c r="J2" s="55" t="n">
        <x:f>COUNTIFS(Responses!$B:$B,$A2,Responses!$K:$K,"High")</x:f>
        <x:v>1</x:v>
      </x:c>
      <x:c r="K2" s="66" t="n">
        <x:f>IF($D2=0,0,(SUMIFS(Responses!$G:$G,Responses!$B:$B,$A2,Responses!$E:$E,"&lt;&gt;Not Applicable")/$D2)/5)</x:f>
        <x:v>0.37142857142857144</x:v>
      </x:c>
      <x:c r="L2" s="55" t="str">
        <x:f>IF($I2&gt;0,"Critical",IF($J2&gt;0,"High Risk",IF($G2&lt;0.61,"Needs Work","On Track")))</x:f>
        <x:v>High Risk</x:v>
      </x:c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D02</x:v>
      </x:c>
      <x:c r="B3" s="55" t="str">
        <x:v>Personal data discovery and inventory</x:v>
      </x:c>
      <x:c r="C3" s="55" t="n">
        <x:v>8</x:v>
      </x:c>
      <x:c r="D3" s="55" t="n">
        <x:f>COUNTIFS(Responses!$B:$B,$A3,Responses!$E:$E,"&lt;&gt;Not Applicable")</x:f>
        <x:v>7</x:v>
      </x:c>
      <x:c r="E3" s="55" t="n">
        <x:f>IF($D3=0,0,SUMIFS(Responses!$J:$J,Responses!$B:$B,$A3,Responses!$E:$E,"&lt;&gt;Not Applicable")/$D3)</x:f>
        <x:v>0.8571428571428571</x:v>
      </x:c>
      <x:c r="F3" s="70" t="n">
        <x:f>($E3/5)*$C3</x:f>
        <x:v>1.3714285714285714</x:v>
      </x:c>
      <x:c r="G3" s="66" t="n">
        <x:f>IF($C3=0,0,$F3/$C3)</x:f>
        <x:v>0.17142857142857143</x:v>
      </x:c>
      <x:c r="H3" s="55" t="str">
        <x:f>IF($G3&lt;=0.2,"Level 0 - Not Started",IF($G3&lt;=0.4,"Level 1 - Aware",IF($G3&lt;=0.6,"Level 2 - Defined",IF($G3&lt;=0.75,"Level 3 - Implementing",IF($G3&lt;=0.9,"Level 4 - Operational","Level 5 - Continuous Assurance")))))</x:f>
        <x:v>Level 0 - Not Started</x:v>
      </x:c>
      <x:c r="I3" s="55" t="n">
        <x:f>COUNTIFS(Responses!$B:$B,$A3,Responses!$K:$K,"Critical")</x:f>
        <x:v>1</x:v>
      </x:c>
      <x:c r="J3" s="55" t="n">
        <x:f>COUNTIFS(Responses!$B:$B,$A3,Responses!$K:$K,"High")</x:f>
        <x:v>6</x:v>
      </x:c>
      <x:c r="K3" s="66" t="n">
        <x:f>IF($D3=0,0,(SUMIFS(Responses!$G:$G,Responses!$B:$B,$A3,Responses!$E:$E,"&lt;&gt;Not Applicable")/$D3)/5)</x:f>
        <x:v>0.17142857142857143</x:v>
      </x:c>
      <x:c r="L3" s="55" t="str">
        <x:f>IF($I3&gt;0,"Critical",IF($J3&gt;0,"High Risk",IF($G3&lt;0.61,"Needs Work","On Track")))</x:f>
        <x:v>Critical</x:v>
      </x:c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D03</x:v>
      </x:c>
      <x:c r="B4" s="55" t="str">
        <x:v>ROPA / Records of Processing Activities</x:v>
      </x:c>
      <x:c r="C4" s="55" t="n">
        <x:v>6</x:v>
      </x:c>
      <x:c r="D4" s="55" t="n">
        <x:f>COUNTIFS(Responses!$B:$B,$A4,Responses!$E:$E,"&lt;&gt;Not Applicable")</x:f>
        <x:v>8</x:v>
      </x:c>
      <x:c r="E4" s="55" t="n">
        <x:f>IF($D4=0,0,SUMIFS(Responses!$J:$J,Responses!$B:$B,$A4,Responses!$E:$E,"&lt;&gt;Not Applicable")/$D4)</x:f>
        <x:v>0.875</x:v>
      </x:c>
      <x:c r="F4" s="70" t="n">
        <x:f>($E4/5)*$C4</x:f>
        <x:v>1.0499999999999998</x:v>
      </x:c>
      <x:c r="G4" s="66" t="n">
        <x:f>IF($C4=0,0,$F4/$C4)</x:f>
        <x:v>0.17499999999999996</x:v>
      </x:c>
      <x:c r="H4" s="55" t="str">
        <x:f>IF($G4&lt;=0.2,"Level 0 - Not Started",IF($G4&lt;=0.4,"Level 1 - Aware",IF($G4&lt;=0.6,"Level 2 - Defined",IF($G4&lt;=0.75,"Level 3 - Implementing",IF($G4&lt;=0.9,"Level 4 - Operational","Level 5 - Continuous Assurance")))))</x:f>
        <x:v>Level 0 - Not Started</x:v>
      </x:c>
      <x:c r="I4" s="55" t="n">
        <x:f>COUNTIFS(Responses!$B:$B,$A4,Responses!$K:$K,"Critical")</x:f>
        <x:v>1</x:v>
      </x:c>
      <x:c r="J4" s="55" t="n">
        <x:f>COUNTIFS(Responses!$B:$B,$A4,Responses!$K:$K,"High")</x:f>
        <x:v>7</x:v>
      </x:c>
      <x:c r="K4" s="66" t="n">
        <x:f>IF($D4=0,0,(SUMIFS(Responses!$G:$G,Responses!$B:$B,$A4,Responses!$E:$E,"&lt;&gt;Not Applicable")/$D4)/5)</x:f>
        <x:v>0.175</x:v>
      </x:c>
      <x:c r="L4" s="55" t="str">
        <x:f>IF($I4&gt;0,"Critical",IF($J4&gt;0,"High Risk",IF($G4&lt;0.61,"Needs Work","On Track")))</x:f>
        <x:v>Critical</x:v>
      </x:c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D04</x:v>
      </x:c>
      <x:c r="B5" s="55" t="str">
        <x:v>Purpose, lawful basis and data minimisation</x:v>
      </x:c>
      <x:c r="C5" s="55" t="n">
        <x:v>7</x:v>
      </x:c>
      <x:c r="D5" s="55" t="n">
        <x:f>COUNTIFS(Responses!$B:$B,$A5,Responses!$E:$E,"&lt;&gt;Not Applicable")</x:f>
        <x:v>6</x:v>
      </x:c>
      <x:c r="E5" s="55" t="n">
        <x:f>IF($D5=0,0,SUMIFS(Responses!$J:$J,Responses!$B:$B,$A5,Responses!$E:$E,"&lt;&gt;Not Applicable")/$D5)</x:f>
        <x:v>2</x:v>
      </x:c>
      <x:c r="F5" s="70" t="n">
        <x:f>($E5/5)*$C5</x:f>
        <x:v>2.8000000000000003</x:v>
      </x:c>
      <x:c r="G5" s="66" t="n">
        <x:f>IF($C5=0,0,$F5/$C5)</x:f>
        <x:v>0.4</x:v>
      </x:c>
      <x:c r="H5" s="55" t="str">
        <x:f>IF($G5&lt;=0.2,"Level 0 - Not Started",IF($G5&lt;=0.4,"Level 1 - Aware",IF($G5&lt;=0.6,"Level 2 - Defined",IF($G5&lt;=0.75,"Level 3 - Implementing",IF($G5&lt;=0.9,"Level 4 - Operational","Level 5 - Continuous Assurance")))))</x:f>
        <x:v>Level 1 - Aware</x:v>
      </x:c>
      <x:c r="I5" s="55" t="n">
        <x:f>COUNTIFS(Responses!$B:$B,$A5,Responses!$K:$K,"Critical")</x:f>
        <x:v>0</x:v>
      </x:c>
      <x:c r="J5" s="55" t="n">
        <x:f>COUNTIFS(Responses!$B:$B,$A5,Responses!$K:$K,"High")</x:f>
        <x:v>0</x:v>
      </x:c>
      <x:c r="K5" s="66" t="n">
        <x:f>IF($D5=0,0,(SUMIFS(Responses!$G:$G,Responses!$B:$B,$A5,Responses!$E:$E,"&lt;&gt;Not Applicable")/$D5)/5)</x:f>
        <x:v>0.4</x:v>
      </x:c>
      <x:c r="L5" s="55" t="str">
        <x:f>IF($I5&gt;0,"Critical",IF($J5&gt;0,"High Risk",IF($G5&lt;0.61,"Needs Work","On Track")))</x:f>
        <x:v>Needs Work</x:v>
      </x:c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D05</x:v>
      </x:c>
      <x:c r="B6" s="55" t="str">
        <x:v>Notice management</x:v>
      </x:c>
      <x:c r="C6" s="55" t="n">
        <x:v>7</x:v>
      </x:c>
      <x:c r="D6" s="55" t="n">
        <x:f>COUNTIFS(Responses!$B:$B,$A6,Responses!$E:$E,"&lt;&gt;Not Applicable")</x:f>
        <x:v>6</x:v>
      </x:c>
      <x:c r="E6" s="55" t="n">
        <x:f>IF($D6=0,0,SUMIFS(Responses!$J:$J,Responses!$B:$B,$A6,Responses!$E:$E,"&lt;&gt;Not Applicable")/$D6)</x:f>
        <x:v>2</x:v>
      </x:c>
      <x:c r="F6" s="70" t="n">
        <x:f>($E6/5)*$C6</x:f>
        <x:v>2.8000000000000003</x:v>
      </x:c>
      <x:c r="G6" s="66" t="n">
        <x:f>IF($C6=0,0,$F6/$C6)</x:f>
        <x:v>0.4</x:v>
      </x:c>
      <x:c r="H6" s="55" t="str">
        <x:f>IF($G6&lt;=0.2,"Level 0 - Not Started",IF($G6&lt;=0.4,"Level 1 - Aware",IF($G6&lt;=0.6,"Level 2 - Defined",IF($G6&lt;=0.75,"Level 3 - Implementing",IF($G6&lt;=0.9,"Level 4 - Operational","Level 5 - Continuous Assurance")))))</x:f>
        <x:v>Level 1 - Aware</x:v>
      </x:c>
      <x:c r="I6" s="55" t="n">
        <x:f>COUNTIFS(Responses!$B:$B,$A6,Responses!$K:$K,"Critical")</x:f>
        <x:v>0</x:v>
      </x:c>
      <x:c r="J6" s="55" t="n">
        <x:f>COUNTIFS(Responses!$B:$B,$A6,Responses!$K:$K,"High")</x:f>
        <x:v>0</x:v>
      </x:c>
      <x:c r="K6" s="66" t="n">
        <x:f>IF($D6=0,0,(SUMIFS(Responses!$G:$G,Responses!$B:$B,$A6,Responses!$E:$E,"&lt;&gt;Not Applicable")/$D6)/5)</x:f>
        <x:v>0.4</x:v>
      </x:c>
      <x:c r="L6" s="55" t="str">
        <x:f>IF($I6&gt;0,"Critical",IF($J6&gt;0,"High Risk",IF($G6&lt;0.61,"Needs Work","On Track")))</x:f>
        <x:v>Needs Work</x:v>
      </x:c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D06</x:v>
      </x:c>
      <x:c r="B7" s="55" t="str">
        <x:v>Consent and consent withdrawal</x:v>
      </x:c>
      <x:c r="C7" s="55" t="n">
        <x:v>7</x:v>
      </x:c>
      <x:c r="D7" s="55" t="n">
        <x:f>COUNTIFS(Responses!$B:$B,$A7,Responses!$E:$E,"&lt;&gt;Not Applicable")</x:f>
        <x:v>6</x:v>
      </x:c>
      <x:c r="E7" s="55" t="n">
        <x:f>IF($D7=0,0,SUMIFS(Responses!$J:$J,Responses!$B:$B,$A7,Responses!$E:$E,"&lt;&gt;Not Applicable")/$D7)</x:f>
        <x:v>0.8333333333333334</x:v>
      </x:c>
      <x:c r="F7" s="70" t="n">
        <x:f>($E7/5)*$C7</x:f>
        <x:v>1.1666666666666667</x:v>
      </x:c>
      <x:c r="G7" s="66" t="n">
        <x:f>IF($C7=0,0,$F7/$C7)</x:f>
        <x:v>0.16666666666666669</x:v>
      </x:c>
      <x:c r="H7" s="55" t="str">
        <x:f>IF($G7&lt;=0.2,"Level 0 - Not Started",IF($G7&lt;=0.4,"Level 1 - Aware",IF($G7&lt;=0.6,"Level 2 - Defined",IF($G7&lt;=0.75,"Level 3 - Implementing",IF($G7&lt;=0.9,"Level 4 - Operational","Level 5 - Continuous Assurance")))))</x:f>
        <x:v>Level 0 - Not Started</x:v>
      </x:c>
      <x:c r="I7" s="55" t="n">
        <x:f>COUNTIFS(Responses!$B:$B,$A7,Responses!$K:$K,"Critical")</x:f>
        <x:v>1</x:v>
      </x:c>
      <x:c r="J7" s="55" t="n">
        <x:f>COUNTIFS(Responses!$B:$B,$A7,Responses!$K:$K,"High")</x:f>
        <x:v>5</x:v>
      </x:c>
      <x:c r="K7" s="66" t="n">
        <x:f>IF($D7=0,0,(SUMIFS(Responses!$G:$G,Responses!$B:$B,$A7,Responses!$E:$E,"&lt;&gt;Not Applicable")/$D7)/5)</x:f>
        <x:v>0.16666666666666669</x:v>
      </x:c>
      <x:c r="L7" s="55" t="str">
        <x:f>IF($I7&gt;0,"Critical",IF($J7&gt;0,"High Risk",IF($G7&lt;0.61,"Needs Work","On Track")))</x:f>
        <x:v>Critical</x:v>
      </x:c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D07</x:v>
      </x:c>
      <x:c r="B8" s="55" t="str">
        <x:v>Data Principal rights</x:v>
      </x:c>
      <x:c r="C8" s="55" t="n">
        <x:v>7</x:v>
      </x:c>
      <x:c r="D8" s="55" t="n">
        <x:f>COUNTIFS(Responses!$B:$B,$A8,Responses!$E:$E,"&lt;&gt;Not Applicable")</x:f>
        <x:v>6</x:v>
      </x:c>
      <x:c r="E8" s="55" t="n">
        <x:f>IF($D8=0,0,SUMIFS(Responses!$J:$J,Responses!$B:$B,$A8,Responses!$E:$E,"&lt;&gt;Not Applicable")/$D8)</x:f>
        <x:v>1</x:v>
      </x:c>
      <x:c r="F8" s="70" t="n">
        <x:f>($E8/5)*$C8</x:f>
        <x:v>1.4000000000000001</x:v>
      </x:c>
      <x:c r="G8" s="66" t="n">
        <x:f>IF($C8=0,0,$F8/$C8)</x:f>
        <x:v>0.2</x:v>
      </x:c>
      <x:c r="H8" s="55" t="str">
        <x:f>IF($G8&lt;=0.2,"Level 0 - Not Started",IF($G8&lt;=0.4,"Level 1 - Aware",IF($G8&lt;=0.6,"Level 2 - Defined",IF($G8&lt;=0.75,"Level 3 - Implementing",IF($G8&lt;=0.9,"Level 4 - Operational","Level 5 - Continuous Assurance")))))</x:f>
        <x:v>Level 0 - Not Started</x:v>
      </x:c>
      <x:c r="I8" s="55" t="n">
        <x:f>COUNTIFS(Responses!$B:$B,$A8,Responses!$K:$K,"Critical")</x:f>
        <x:v>0</x:v>
      </x:c>
      <x:c r="J8" s="55" t="n">
        <x:f>COUNTIFS(Responses!$B:$B,$A8,Responses!$K:$K,"High")</x:f>
        <x:v>6</x:v>
      </x:c>
      <x:c r="K8" s="66" t="n">
        <x:f>IF($D8=0,0,(SUMIFS(Responses!$G:$G,Responses!$B:$B,$A8,Responses!$E:$E,"&lt;&gt;Not Applicable")/$D8)/5)</x:f>
        <x:v>0.2</x:v>
      </x:c>
      <x:c r="L8" s="55" t="str">
        <x:f>IF($I8&gt;0,"Critical",IF($J8&gt;0,"High Risk",IF($G8&lt;0.61,"Needs Work","On Track")))</x:f>
        <x:v>High Risk</x:v>
      </x:c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 t="str">
        <x:v>D08</x:v>
      </x:c>
      <x:c r="B9" s="55" t="str">
        <x:v>Grievance redressal and contact publication</x:v>
      </x:c>
      <x:c r="C9" s="55" t="n">
        <x:v>5</x:v>
      </x:c>
      <x:c r="D9" s="55" t="n">
        <x:f>COUNTIFS(Responses!$B:$B,$A9,Responses!$E:$E,"&lt;&gt;Not Applicable")</x:f>
        <x:v>5</x:v>
      </x:c>
      <x:c r="E9" s="55" t="n">
        <x:f>IF($D9=0,0,SUMIFS(Responses!$J:$J,Responses!$B:$B,$A9,Responses!$E:$E,"&lt;&gt;Not Applicable")/$D9)</x:f>
        <x:v>0.6</x:v>
      </x:c>
      <x:c r="F9" s="70" t="n">
        <x:f>($E9/5)*$C9</x:f>
        <x:v>0.6</x:v>
      </x:c>
      <x:c r="G9" s="66" t="n">
        <x:f>IF($C9=0,0,$F9/$C9)</x:f>
        <x:v>0.12</x:v>
      </x:c>
      <x:c r="H9" s="55" t="str">
        <x:f>IF($G9&lt;=0.2,"Level 0 - Not Started",IF($G9&lt;=0.4,"Level 1 - Aware",IF($G9&lt;=0.6,"Level 2 - Defined",IF($G9&lt;=0.75,"Level 3 - Implementing",IF($G9&lt;=0.9,"Level 4 - Operational","Level 5 - Continuous Assurance")))))</x:f>
        <x:v>Level 0 - Not Started</x:v>
      </x:c>
      <x:c r="I9" s="55" t="n">
        <x:f>COUNTIFS(Responses!$B:$B,$A9,Responses!$K:$K,"Critical")</x:f>
        <x:v>2</x:v>
      </x:c>
      <x:c r="J9" s="55" t="n">
        <x:f>COUNTIFS(Responses!$B:$B,$A9,Responses!$K:$K,"High")</x:f>
        <x:v>3</x:v>
      </x:c>
      <x:c r="K9" s="66" t="n">
        <x:f>IF($D9=0,0,(SUMIFS(Responses!$G:$G,Responses!$B:$B,$A9,Responses!$E:$E,"&lt;&gt;Not Applicable")/$D9)/5)</x:f>
        <x:v>0.12</x:v>
      </x:c>
      <x:c r="L9" s="55" t="str">
        <x:f>IF($I9&gt;0,"Critical",IF($J9&gt;0,"High Risk",IF($G9&lt;0.61,"Needs Work","On Track")))</x:f>
        <x:v>Critical</x:v>
      </x:c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 t="str">
        <x:v>D09</x:v>
      </x:c>
      <x:c r="B10" s="55" t="str">
        <x:v>Retention, erasure and archival</x:v>
      </x:c>
      <x:c r="C10" s="55" t="n">
        <x:v>6</x:v>
      </x:c>
      <x:c r="D10" s="55" t="n">
        <x:f>COUNTIFS(Responses!$B:$B,$A10,Responses!$E:$E,"&lt;&gt;Not Applicable")</x:f>
        <x:v>6</x:v>
      </x:c>
      <x:c r="E10" s="55" t="n">
        <x:f>IF($D10=0,0,SUMIFS(Responses!$J:$J,Responses!$B:$B,$A10,Responses!$E:$E,"&lt;&gt;Not Applicable")/$D10)</x:f>
        <x:v>1</x:v>
      </x:c>
      <x:c r="F10" s="70" t="n">
        <x:f>($E10/5)*$C10</x:f>
        <x:v>1.2000000000000002</x:v>
      </x:c>
      <x:c r="G10" s="66" t="n">
        <x:f>IF($C10=0,0,$F10/$C10)</x:f>
        <x:v>0.20000000000000004</x:v>
      </x:c>
      <x:c r="H10" s="55" t="str">
        <x:f>IF($G10&lt;=0.2,"Level 0 - Not Started",IF($G10&lt;=0.4,"Level 1 - Aware",IF($G10&lt;=0.6,"Level 2 - Defined",IF($G10&lt;=0.75,"Level 3 - Implementing",IF($G10&lt;=0.9,"Level 4 - Operational","Level 5 - Continuous Assurance")))))</x:f>
        <x:v>Level 0 - Not Started</x:v>
      </x:c>
      <x:c r="I10" s="55" t="n">
        <x:f>COUNTIFS(Responses!$B:$B,$A10,Responses!$K:$K,"Critical")</x:f>
        <x:v>0</x:v>
      </x:c>
      <x:c r="J10" s="55" t="n">
        <x:f>COUNTIFS(Responses!$B:$B,$A10,Responses!$K:$K,"High")</x:f>
        <x:v>6</x:v>
      </x:c>
      <x:c r="K10" s="66" t="n">
        <x:f>IF($D10=0,0,(SUMIFS(Responses!$G:$G,Responses!$B:$B,$A10,Responses!$E:$E,"&lt;&gt;Not Applicable")/$D10)/5)</x:f>
        <x:v>0.2</x:v>
      </x:c>
      <x:c r="L10" s="55" t="str">
        <x:f>IF($I10&gt;0,"Critical",IF($J10&gt;0,"High Risk",IF($G10&lt;0.61,"Needs Work","On Track")))</x:f>
        <x:v>High Risk</x:v>
      </x:c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D10</x:v>
      </x:c>
      <x:c r="B11" s="55" t="str">
        <x:v>Data accuracy and quality</x:v>
      </x:c>
      <x:c r="C11" s="55" t="n">
        <x:v>4</x:v>
      </x:c>
      <x:c r="D11" s="55" t="n">
        <x:f>COUNTIFS(Responses!$B:$B,$A11,Responses!$E:$E,"&lt;&gt;Not Applicable")</x:f>
        <x:v>5</x:v>
      </x:c>
      <x:c r="E11" s="55" t="n">
        <x:f>IF($D11=0,0,SUMIFS(Responses!$J:$J,Responses!$B:$B,$A11,Responses!$E:$E,"&lt;&gt;Not Applicable")/$D11)</x:f>
        <x:v>2</x:v>
      </x:c>
      <x:c r="F11" s="70" t="n">
        <x:f>($E11/5)*$C11</x:f>
        <x:v>1.6</x:v>
      </x:c>
      <x:c r="G11" s="66" t="n">
        <x:f>IF($C11=0,0,$F11/$C11)</x:f>
        <x:v>0.4</x:v>
      </x:c>
      <x:c r="H11" s="55" t="str">
        <x:f>IF($G11&lt;=0.2,"Level 0 - Not Started",IF($G11&lt;=0.4,"Level 1 - Aware",IF($G11&lt;=0.6,"Level 2 - Defined",IF($G11&lt;=0.75,"Level 3 - Implementing",IF($G11&lt;=0.9,"Level 4 - Operational","Level 5 - Continuous Assurance")))))</x:f>
        <x:v>Level 1 - Aware</x:v>
      </x:c>
      <x:c r="I11" s="55" t="n">
        <x:f>COUNTIFS(Responses!$B:$B,$A11,Responses!$K:$K,"Critical")</x:f>
        <x:v>0</x:v>
      </x:c>
      <x:c r="J11" s="55" t="n">
        <x:f>COUNTIFS(Responses!$B:$B,$A11,Responses!$K:$K,"High")</x:f>
        <x:v>0</x:v>
      </x:c>
      <x:c r="K11" s="66" t="n">
        <x:f>IF($D11=0,0,(SUMIFS(Responses!$G:$G,Responses!$B:$B,$A11,Responses!$E:$E,"&lt;&gt;Not Applicable")/$D11)/5)</x:f>
        <x:v>0.4</x:v>
      </x:c>
      <x:c r="L11" s="55" t="str">
        <x:f>IF($I11&gt;0,"Critical",IF($J11&gt;0,"High Risk",IF($G11&lt;0.61,"Needs Work","On Track")))</x:f>
        <x:v>Needs Work</x:v>
      </x:c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str">
        <x:v>D11</x:v>
      </x:c>
      <x:c r="B12" s="55" t="str">
        <x:v>Security safeguards</x:v>
      </x:c>
      <x:c r="C12" s="55" t="n">
        <x:v>10</x:v>
      </x:c>
      <x:c r="D12" s="55" t="n">
        <x:f>COUNTIFS(Responses!$B:$B,$A12,Responses!$E:$E,"&lt;&gt;Not Applicable")</x:f>
        <x:v>8</x:v>
      </x:c>
      <x:c r="E12" s="55" t="n">
        <x:f>IF($D12=0,0,SUMIFS(Responses!$J:$J,Responses!$B:$B,$A12,Responses!$E:$E,"&lt;&gt;Not Applicable")/$D12)</x:f>
        <x:v>2</x:v>
      </x:c>
      <x:c r="F12" s="70" t="n">
        <x:f>($E12/5)*$C12</x:f>
        <x:v>4</x:v>
      </x:c>
      <x:c r="G12" s="66" t="n">
        <x:f>IF($C12=0,0,$F12/$C12)</x:f>
        <x:v>0.4</x:v>
      </x:c>
      <x:c r="H12" s="55" t="str">
        <x:f>IF($G12&lt;=0.2,"Level 0 - Not Started",IF($G12&lt;=0.4,"Level 1 - Aware",IF($G12&lt;=0.6,"Level 2 - Defined",IF($G12&lt;=0.75,"Level 3 - Implementing",IF($G12&lt;=0.9,"Level 4 - Operational","Level 5 - Continuous Assurance")))))</x:f>
        <x:v>Level 1 - Aware</x:v>
      </x:c>
      <x:c r="I12" s="55" t="n">
        <x:f>COUNTIFS(Responses!$B:$B,$A12,Responses!$K:$K,"Critical")</x:f>
        <x:v>0</x:v>
      </x:c>
      <x:c r="J12" s="55" t="n">
        <x:f>COUNTIFS(Responses!$B:$B,$A12,Responses!$K:$K,"High")</x:f>
        <x:v>0</x:v>
      </x:c>
      <x:c r="K12" s="66" t="n">
        <x:f>IF($D12=0,0,(SUMIFS(Responses!$G:$G,Responses!$B:$B,$A12,Responses!$E:$E,"&lt;&gt;Not Applicable")/$D12)/5)</x:f>
        <x:v>0.4</x:v>
      </x:c>
      <x:c r="L12" s="55" t="str">
        <x:f>IF($I12&gt;0,"Critical",IF($J12&gt;0,"High Risk",IF($G12&lt;0.61,"Needs Work","On Track")))</x:f>
        <x:v>Needs Work</x:v>
      </x:c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D12</x:v>
      </x:c>
      <x:c r="B13" s="55" t="str">
        <x:v>Personal data breach readiness</x:v>
      </x:c>
      <x:c r="C13" s="55" t="n">
        <x:v>8</x:v>
      </x:c>
      <x:c r="D13" s="55" t="n">
        <x:f>COUNTIFS(Responses!$B:$B,$A13,Responses!$E:$E,"&lt;&gt;Not Applicable")</x:f>
        <x:v>6</x:v>
      </x:c>
      <x:c r="E13" s="55" t="n">
        <x:f>IF($D13=0,0,SUMIFS(Responses!$J:$J,Responses!$B:$B,$A13,Responses!$E:$E,"&lt;&gt;Not Applicable")/$D13)</x:f>
        <x:v>0.6666666666666666</x:v>
      </x:c>
      <x:c r="F13" s="70" t="n">
        <x:f>($E13/5)*$C13</x:f>
        <x:v>1.0666666666666667</x:v>
      </x:c>
      <x:c r="G13" s="66" t="n">
        <x:f>IF($C13=0,0,$F13/$C13)</x:f>
        <x:v>0.13333333333333333</x:v>
      </x:c>
      <x:c r="H13" s="55" t="str">
        <x:f>IF($G13&lt;=0.2,"Level 0 - Not Started",IF($G13&lt;=0.4,"Level 1 - Aware",IF($G13&lt;=0.6,"Level 2 - Defined",IF($G13&lt;=0.75,"Level 3 - Implementing",IF($G13&lt;=0.9,"Level 4 - Operational","Level 5 - Continuous Assurance")))))</x:f>
        <x:v>Level 0 - Not Started</x:v>
      </x:c>
      <x:c r="I13" s="55" t="n">
        <x:f>COUNTIFS(Responses!$B:$B,$A13,Responses!$K:$K,"Critical")</x:f>
        <x:v>2</x:v>
      </x:c>
      <x:c r="J13" s="55" t="n">
        <x:f>COUNTIFS(Responses!$B:$B,$A13,Responses!$K:$K,"High")</x:f>
        <x:v>4</x:v>
      </x:c>
      <x:c r="K13" s="66" t="n">
        <x:f>IF($D13=0,0,(SUMIFS(Responses!$G:$G,Responses!$B:$B,$A13,Responses!$E:$E,"&lt;&gt;Not Applicable")/$D13)/5)</x:f>
        <x:v>0.13333333333333333</x:v>
      </x:c>
      <x:c r="L13" s="55" t="str">
        <x:f>IF($I13&gt;0,"Critical",IF($J13&gt;0,"High Risk",IF($G13&lt;0.61,"Needs Work","On Track")))</x:f>
        <x:v>Critical</x:v>
      </x:c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str">
        <x:v>D13</x:v>
      </x:c>
      <x:c r="B14" s="55" t="str">
        <x:v>Vendor / Data Processor governance</x:v>
      </x:c>
      <x:c r="C14" s="55" t="n">
        <x:v>7</x:v>
      </x:c>
      <x:c r="D14" s="55" t="n">
        <x:f>COUNTIFS(Responses!$B:$B,$A14,Responses!$E:$E,"&lt;&gt;Not Applicable")</x:f>
        <x:v>6</x:v>
      </x:c>
      <x:c r="E14" s="55" t="n">
        <x:f>IF($D14=0,0,SUMIFS(Responses!$J:$J,Responses!$B:$B,$A14,Responses!$E:$E,"&lt;&gt;Not Applicable")/$D14)</x:f>
        <x:v>0.8333333333333334</x:v>
      </x:c>
      <x:c r="F14" s="70" t="n">
        <x:f>($E14/5)*$C14</x:f>
        <x:v>1.1666666666666667</x:v>
      </x:c>
      <x:c r="G14" s="66" t="n">
        <x:f>IF($C14=0,0,$F14/$C14)</x:f>
        <x:v>0.16666666666666669</x:v>
      </x:c>
      <x:c r="H14" s="55" t="str">
        <x:f>IF($G14&lt;=0.2,"Level 0 - Not Started",IF($G14&lt;=0.4,"Level 1 - Aware",IF($G14&lt;=0.6,"Level 2 - Defined",IF($G14&lt;=0.75,"Level 3 - Implementing",IF($G14&lt;=0.9,"Level 4 - Operational","Level 5 - Continuous Assurance")))))</x:f>
        <x:v>Level 0 - Not Started</x:v>
      </x:c>
      <x:c r="I14" s="55" t="n">
        <x:f>COUNTIFS(Responses!$B:$B,$A14,Responses!$K:$K,"Critical")</x:f>
        <x:v>1</x:v>
      </x:c>
      <x:c r="J14" s="55" t="n">
        <x:f>COUNTIFS(Responses!$B:$B,$A14,Responses!$K:$K,"High")</x:f>
        <x:v>5</x:v>
      </x:c>
      <x:c r="K14" s="66" t="n">
        <x:f>IF($D14=0,0,(SUMIFS(Responses!$G:$G,Responses!$B:$B,$A14,Responses!$E:$E,"&lt;&gt;Not Applicable")/$D14)/5)</x:f>
        <x:v>0.16666666666666669</x:v>
      </x:c>
      <x:c r="L14" s="55" t="str">
        <x:f>IF($I14&gt;0,"Critical",IF($J14&gt;0,"High Risk",IF($G14&lt;0.61,"Needs Work","On Track")))</x:f>
        <x:v>Critical</x:v>
      </x:c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5" t="str">
        <x:v>D14</x:v>
      </x:c>
      <x:c r="B15" s="55" t="str">
        <x:v>Children’s data and guardian consent</x:v>
      </x:c>
      <x:c r="C15" s="55" t="n">
        <x:v>4</x:v>
      </x:c>
      <x:c r="D15" s="55" t="n">
        <x:f>COUNTIFS(Responses!$B:$B,$A15,Responses!$E:$E,"&lt;&gt;Not Applicable")</x:f>
        <x:v>5</x:v>
      </x:c>
      <x:c r="E15" s="55" t="n">
        <x:f>IF($D15=0,0,SUMIFS(Responses!$J:$J,Responses!$B:$B,$A15,Responses!$E:$E,"&lt;&gt;Not Applicable")/$D15)</x:f>
        <x:v>0.6</x:v>
      </x:c>
      <x:c r="F15" s="70" t="n">
        <x:f>($E15/5)*$C15</x:f>
        <x:v>0.48</x:v>
      </x:c>
      <x:c r="G15" s="66" t="n">
        <x:f>IF($C15=0,0,$F15/$C15)</x:f>
        <x:v>0.12</x:v>
      </x:c>
      <x:c r="H15" s="55" t="str">
        <x:f>IF($G15&lt;=0.2,"Level 0 - Not Started",IF($G15&lt;=0.4,"Level 1 - Aware",IF($G15&lt;=0.6,"Level 2 - Defined",IF($G15&lt;=0.75,"Level 3 - Implementing",IF($G15&lt;=0.9,"Level 4 - Operational","Level 5 - Continuous Assurance")))))</x:f>
        <x:v>Level 0 - Not Started</x:v>
      </x:c>
      <x:c r="I15" s="55" t="n">
        <x:f>COUNTIFS(Responses!$B:$B,$A15,Responses!$K:$K,"Critical")</x:f>
        <x:v>2</x:v>
      </x:c>
      <x:c r="J15" s="55" t="n">
        <x:f>COUNTIFS(Responses!$B:$B,$A15,Responses!$K:$K,"High")</x:f>
        <x:v>3</x:v>
      </x:c>
      <x:c r="K15" s="66" t="n">
        <x:f>IF($D15=0,0,(SUMIFS(Responses!$G:$G,Responses!$B:$B,$A15,Responses!$E:$E,"&lt;&gt;Not Applicable")/$D15)/5)</x:f>
        <x:v>0.12</x:v>
      </x:c>
      <x:c r="L15" s="55" t="str">
        <x:f>IF($I15&gt;0,"Critical",IF($J15&gt;0,"High Risk",IF($G15&lt;0.61,"Needs Work","On Track")))</x:f>
        <x:v>Critical</x:v>
      </x:c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 t="str">
        <x:v>D15</x:v>
      </x:c>
      <x:c r="B16" s="55" t="str">
        <x:v>Cross-border transfer and cloud/SaaS risk</x:v>
      </x:c>
      <x:c r="C16" s="55" t="n">
        <x:v>3</x:v>
      </x:c>
      <x:c r="D16" s="55" t="n">
        <x:f>COUNTIFS(Responses!$B:$B,$A16,Responses!$E:$E,"&lt;&gt;Not Applicable")</x:f>
        <x:v>5</x:v>
      </x:c>
      <x:c r="E16" s="55" t="n">
        <x:f>IF($D16=0,0,SUMIFS(Responses!$J:$J,Responses!$B:$B,$A16,Responses!$E:$E,"&lt;&gt;Not Applicable")/$D16)</x:f>
        <x:v>1</x:v>
      </x:c>
      <x:c r="F16" s="70" t="n">
        <x:f>($E16/5)*$C16</x:f>
        <x:v>0.6000000000000001</x:v>
      </x:c>
      <x:c r="G16" s="66" t="n">
        <x:f>IF($C16=0,0,$F16/$C16)</x:f>
        <x:v>0.20000000000000004</x:v>
      </x:c>
      <x:c r="H16" s="55" t="str">
        <x:f>IF($G16&lt;=0.2,"Level 0 - Not Started",IF($G16&lt;=0.4,"Level 1 - Aware",IF($G16&lt;=0.6,"Level 2 - Defined",IF($G16&lt;=0.75,"Level 3 - Implementing",IF($G16&lt;=0.9,"Level 4 - Operational","Level 5 - Continuous Assurance")))))</x:f>
        <x:v>Level 0 - Not Started</x:v>
      </x:c>
      <x:c r="I16" s="55" t="n">
        <x:f>COUNTIFS(Responses!$B:$B,$A16,Responses!$K:$K,"Critical")</x:f>
        <x:v>0</x:v>
      </x:c>
      <x:c r="J16" s="55" t="n">
        <x:f>COUNTIFS(Responses!$B:$B,$A16,Responses!$K:$K,"High")</x:f>
        <x:v>5</x:v>
      </x:c>
      <x:c r="K16" s="66" t="n">
        <x:f>IF($D16=0,0,(SUMIFS(Responses!$G:$G,Responses!$B:$B,$A16,Responses!$E:$E,"&lt;&gt;Not Applicable")/$D16)/5)</x:f>
        <x:v>0.2</x:v>
      </x:c>
      <x:c r="L16" s="55" t="str">
        <x:f>IF($I16&gt;0,"Critical",IF($J16&gt;0,"High Risk",IF($G16&lt;0.61,"Needs Work","On Track")))</x:f>
        <x:v>High Risk</x:v>
      </x:c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5" t="str">
        <x:v>D16</x:v>
      </x:c>
      <x:c r="B17" s="55" t="str">
        <x:v>SDF, DPIA, audit and AI/algorithmic risk readiness</x:v>
      </x:c>
      <x:c r="C17" s="55" t="n">
        <x:v>4</x:v>
      </x:c>
      <x:c r="D17" s="55" t="n">
        <x:f>COUNTIFS(Responses!$B:$B,$A17,Responses!$E:$E,"&lt;&gt;Not Applicable")</x:f>
        <x:v>6</x:v>
      </x:c>
      <x:c r="E17" s="55" t="n">
        <x:f>IF($D17=0,0,SUMIFS(Responses!$J:$J,Responses!$B:$B,$A17,Responses!$E:$E,"&lt;&gt;Not Applicable")/$D17)</x:f>
        <x:v>1</x:v>
      </x:c>
      <x:c r="F17" s="70" t="n">
        <x:f>($E17/5)*$C17</x:f>
        <x:v>0.8</x:v>
      </x:c>
      <x:c r="G17" s="66" t="n">
        <x:f>IF($C17=0,0,$F17/$C17)</x:f>
        <x:v>0.2</x:v>
      </x:c>
      <x:c r="H17" s="55" t="str">
        <x:f>IF($G17&lt;=0.2,"Level 0 - Not Started",IF($G17&lt;=0.4,"Level 1 - Aware",IF($G17&lt;=0.6,"Level 2 - Defined",IF($G17&lt;=0.75,"Level 3 - Implementing",IF($G17&lt;=0.9,"Level 4 - Operational","Level 5 - Continuous Assurance")))))</x:f>
        <x:v>Level 0 - Not Started</x:v>
      </x:c>
      <x:c r="I17" s="55" t="n">
        <x:f>COUNTIFS(Responses!$B:$B,$A17,Responses!$K:$K,"Critical")</x:f>
        <x:v>0</x:v>
      </x:c>
      <x:c r="J17" s="55" t="n">
        <x:f>COUNTIFS(Responses!$B:$B,$A17,Responses!$K:$K,"High")</x:f>
        <x:v>6</x:v>
      </x:c>
      <x:c r="K17" s="66" t="n">
        <x:f>IF($D17=0,0,(SUMIFS(Responses!$G:$G,Responses!$B:$B,$A17,Responses!$E:$E,"&lt;&gt;Not Applicable")/$D17)/5)</x:f>
        <x:v>0.2</x:v>
      </x:c>
      <x:c r="L17" s="55" t="str">
        <x:f>IF($I17&gt;0,"Critical",IF($J17&gt;0,"High Risk",IF($G17&lt;0.61,"Needs Work","On Track")))</x:f>
        <x:v>High Risk</x:v>
      </x:c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conditionalFormatting sqref="G2:G1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2:K1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a1db20d3564f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8" hidden="0" customWidth="1"/>
    <x:col min="4" max="4" width="12" hidden="0" customWidth="1"/>
    <x:col min="5" max="5" width="16" hidden="0" customWidth="1"/>
    <x:col min="6" max="6" width="28" hidden="0" customWidth="1"/>
    <x:col min="7" max="7" width="12" hidden="0" customWidth="1"/>
    <x:col min="8" max="8" width="12" hidden="0" customWidth="1"/>
  </x:cols>
  <x:sheetData>
    <x:row r="1" ht="30" customHeight="1">
      <x:c r="A1" s="76" t="str">
        <x:v>TrustStack™ DPDP Compass – Executive Dashboard</x:v>
      </x:c>
      <x:c r="B1" s="76" t="str"/>
      <x:c r="C1" s="76" t="str"/>
      <x:c r="D1" s="76" t="str"/>
      <x:c r="E1" s="76" t="str"/>
      <x:c r="F1" s="76" t="str"/>
      <x:c r="G1" s="76" t="str"/>
      <x:c r="H1" s="76" t="str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 t="str">
        <x:v>Assessment</x:v>
      </x:c>
      <x:c r="B2" s="53" t="str">
        <x:f>Config!B2</x:f>
        <x:v>Mumbai University DPDP Compass Baseline</x:v>
      </x:c>
      <x:c r="C2" s="53" t="str"/>
      <x:c r="D2" s="53" t="str">
        <x:v>Organisation</x:v>
      </x:c>
      <x:c r="E2" s="53" t="str">
        <x:f>Config!B3</x:f>
        <x:v>Mumbai University</x:v>
      </x:c>
      <x:c r="F2" s="53" t="str"/>
      <x:c r="G2" s="53" t="str">
        <x:v>Assessment Date</x:v>
      </x:c>
      <x:c r="H2" s="108" t="n">
        <x:f>Config!B5</x:f>
        <x:v>46268</x:v>
      </x:c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 t="str"/>
      <x:c r="B3" s="53" t="str"/>
      <x:c r="C3" s="53" t="str"/>
      <x:c r="D3" s="53" t="str"/>
      <x:c r="E3" s="53" t="str"/>
      <x:c r="F3" s="53" t="str"/>
      <x:c r="G3" s="53" t="str"/>
      <x:c r="H3" s="53" t="str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63" t="str">
        <x:v>KPI</x:v>
      </x:c>
      <x:c r="B4" s="63" t="str">
        <x:v>Value</x:v>
      </x:c>
      <x:c r="C4" s="63" t="str">
        <x:v>Interpretation</x:v>
      </x:c>
      <x:c r="D4" s="53" t="str"/>
      <x:c r="E4" s="63" t="str">
        <x:v>Critical / High View</x:v>
      </x:c>
      <x:c r="F4" s="63" t="str">
        <x:v>Value</x:v>
      </x:c>
      <x:c r="G4" s="53" t="str"/>
      <x:c r="H4" s="53" t="str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3" t="str">
        <x:v>Overall Raw Score</x:v>
      </x:c>
      <x:c r="B5" s="109" t="n">
        <x:f>SUM(Domain_Scoring!F2:F17)</x:f>
        <x:v>24.701428571428576</x:v>
      </x:c>
      <x:c r="C5" s="53" t="str">
        <x:v>Before score caps</x:v>
      </x:c>
      <x:c r="D5" s="53" t="str"/>
      <x:c r="E5" s="53" t="str">
        <x:v>Critical Gaps</x:v>
      </x:c>
      <x:c r="F5" s="53" t="n">
        <x:f>SUM(Domain_Scoring!I2:I17)</x:f>
        <x:v>10</x:v>
      </x:c>
      <x:c r="G5" s="53" t="str"/>
      <x:c r="H5" s="53" t="str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3" t="str">
        <x:v>Score Cap</x:v>
      </x:c>
      <x:c r="B6" s="109" t="n">
        <x:f>MIN(100,IF(COUNTIFS(Responses!$A:$A,"G1.2",Responses!$J:$J,"&lt;2")&gt;0,60,100),IF(COUNTIFS(Responses!$B:$B,"D02",Responses!$J:$J,"&lt;2")&gt;0,55,100),IF(COUNTIFS(Responses!$B:$B,"D03",Responses!$J:$J,"&lt;2")&gt;0,60,100),IF(COUNTIFS(Responses!$B:$B,"D11",Responses!$J:$J,"&lt;2")&gt;0,60,100),IF(COUNTIFS(Responses!$B:$B,"D12",Responses!$J:$J,"&lt;2")&gt;0,65,100),IF(COUNTIFS(Responses!$B:$B,"D13",Responses!$J:$J,"&lt;2")&gt;0,70,100),IF(COUNTIFS(Responses!$B:$B,"D14",Responses!$J:$J,"&lt;2")&gt;0,50,100))</x:f>
        <x:v>50</x:v>
      </x:c>
      <x:c r="C6" s="53" t="str">
        <x:v>Red-flag cap applied</x:v>
      </x:c>
      <x:c r="D6" s="53" t="str"/>
      <x:c r="E6" s="53" t="str">
        <x:v>High Gaps</x:v>
      </x:c>
      <x:c r="F6" s="53" t="n">
        <x:f>SUM(Domain_Scoring!J2:J17)</x:f>
        <x:v>57</x:v>
      </x:c>
      <x:c r="G6" s="53" t="str"/>
      <x:c r="H6" s="53" t="str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3" t="str">
        <x:v>Adjusted DPDP Score</x:v>
      </x:c>
      <x:c r="B7" s="109" t="n">
        <x:f>MIN(B5,B6)</x:f>
        <x:v>24.701428571428576</x:v>
      </x:c>
      <x:c r="C7" s="53" t="str">
        <x:v>Final displayed score</x:v>
      </x:c>
      <x:c r="D7" s="53" t="str"/>
      <x:c r="E7" s="53" t="str">
        <x:v>Open Actions</x:v>
      </x:c>
      <x:c r="F7" s="53" t="n">
        <x:f>COUNTIF(Responses!$K:$K,"Critical")+COUNTIF(Responses!$K:$K,"High")+COUNTIF(Responses!$K:$K,"Medium")+COUNTIF(Responses!$K:$K,"Low")</x:f>
        <x:v>98</x:v>
      </x:c>
      <x:c r="G7" s="53" t="str"/>
      <x:c r="H7" s="53" t="str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3" t="str">
        <x:v>Maturity Level</x:v>
      </x:c>
      <x:c r="B8" s="53" t="str">
        <x:f>IF(B7&lt;=20,"Level 0 - Not Started",IF(B7&lt;=40,"Level 1 - Aware",IF(B7&lt;=60,"Level 2 - Defined",IF(B7&lt;=75,"Level 3 - Implementing",IF(B7&lt;=90,"Level 4 - Operational","Level 5 - Continuous Assurance")))))</x:f>
        <x:v>Level 1 - Aware</x:v>
      </x:c>
      <x:c r="C8" s="53" t="str"/>
      <x:c r="D8" s="53" t="str"/>
      <x:c r="E8" s="53" t="str">
        <x:v>Evidence Confidence</x:v>
      </x:c>
      <x:c r="F8" s="67" t="n">
        <x:f>AVERAGE(Domain_Scoring!K2:K17)</x:f>
        <x:v>0.23903273809523812</x:v>
      </x:c>
      <x:c r="G8" s="53" t="str"/>
      <x:c r="H8" s="53" t="str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 t="str">
        <x:v>Next Reassessment</x:v>
      </x:c>
      <x:c r="B9" s="108" t="n">
        <x:f>Config!B5+Config!B8</x:f>
        <x:v>46298</x:v>
      </x:c>
      <x:c r="C9" s="53" t="str">
        <x:v>Based on Config days</x:v>
      </x:c>
      <x:c r="D9" s="53" t="str"/>
      <x:c r="E9" s="53" t="str">
        <x:v>ROPA Domain Score</x:v>
      </x:c>
      <x:c r="F9" s="53" t="n">
        <x:f>SUMIF(Domain_Scoring!$A:$A,"D03",Domain_Scoring!$F:$F)</x:f>
        <x:v>1.0499999999999998</x:v>
      </x:c>
      <x:c r="G9" s="53" t="str"/>
      <x:c r="H9" s="53" t="str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 t="str"/>
      <x:c r="B10" s="53" t="str"/>
      <x:c r="C10" s="53" t="str"/>
      <x:c r="D10" s="53" t="str"/>
      <x:c r="E10" s="53" t="str"/>
      <x:c r="F10" s="53" t="str"/>
      <x:c r="G10" s="53" t="str"/>
      <x:c r="H10" s="53" t="str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 ht="110" customHeight="1">
      <x:c r="A11" s="56" t="str">
        <x:v>Executive Interpretation</x:v>
      </x:c>
      <x:c r="B11" s="56" t="str">
        <x:f>CONCAT("Current DPDP maturity is ",TEXT(B7,"0.0"),"/100 (",B8,"). Evidence confidence is ",TEXT(F8,"0%"),". Critical gaps: ",F5,". High gaps: ",F6,". Immediate focus should be ROPA, data inventory, breach readiness, vendor governance, grievance and evidence closure where weak.")</x:f>
        <x:v>Current DPDP maturity is 24.7/100 (Level 1 - Aware). Evidence confidence is 24%. Critical gaps: 10. High gaps: 57. Immediate focus should be ROPA, data inventory, breach readiness, vendor governance, grievance and evidence closure where weak.</x:v>
      </x:c>
      <x:c r="C11" s="56" t="str"/>
      <x:c r="D11" s="56" t="str"/>
      <x:c r="E11" s="56" t="str"/>
      <x:c r="F11" s="56" t="str"/>
      <x:c r="G11" s="56" t="str"/>
      <x:c r="H11" s="56" t="str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 t="str"/>
      <x:c r="B12" s="53" t="str"/>
      <x:c r="C12" s="53" t="str"/>
      <x:c r="D12" s="53" t="str"/>
      <x:c r="E12" s="53" t="str"/>
      <x:c r="F12" s="53" t="str"/>
      <x:c r="G12" s="53" t="str"/>
      <x:c r="H12" s="53" t="str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63" t="str">
        <x:v>Domain ID</x:v>
      </x:c>
      <x:c r="B13" s="63" t="str">
        <x:v>Domain</x:v>
      </x:c>
      <x:c r="C13" s="63" t="str">
        <x:v>Weight</x:v>
      </x:c>
      <x:c r="D13" s="63" t="str">
        <x:v>Domain Score</x:v>
      </x:c>
      <x:c r="E13" s="63" t="str">
        <x:v>Domain %</x:v>
      </x:c>
      <x:c r="F13" s="63" t="str">
        <x:v>Maturity Level</x:v>
      </x:c>
      <x:c r="G13" s="63" t="str">
        <x:v>Critical Gaps</x:v>
      </x:c>
      <x:c r="H13" s="63" t="str">
        <x:v>High Gaps</x:v>
      </x:c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 ht="28" customHeight="1">
      <x:c r="A14" s="53" t="str">
        <x:f>Domain_Scoring!A2</x:f>
        <x:v>D01</x:v>
      </x:c>
      <x:c r="B14" s="53" t="str">
        <x:f>Domain_Scoring!B2</x:f>
        <x:v>Governance, accountability and DPDP ownership</x:v>
      </x:c>
      <x:c r="C14" s="53" t="n">
        <x:f>Domain_Scoring!C2</x:f>
        <x:v>7</x:v>
      </x:c>
      <x:c r="D14" s="109" t="n">
        <x:f>Domain_Scoring!F2</x:f>
        <x:v>2.6</x:v>
      </x:c>
      <x:c r="E14" s="67" t="n">
        <x:f>Domain_Scoring!G2</x:f>
        <x:v>0.37142857142857144</x:v>
      </x:c>
      <x:c r="F14" s="53" t="str">
        <x:f>Domain_Scoring!H2</x:f>
        <x:v>Level 1 - Aware</x:v>
      </x:c>
      <x:c r="G14" s="53" t="n">
        <x:f>Domain_Scoring!I2</x:f>
        <x:v>0</x:v>
      </x:c>
      <x:c r="H14" s="53" t="n">
        <x:f>Domain_Scoring!J2</x:f>
        <x:v>1</x:v>
      </x:c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 ht="28" customHeight="1">
      <x:c r="A15" s="53" t="str">
        <x:f>Domain_Scoring!A3</x:f>
        <x:v>D02</x:v>
      </x:c>
      <x:c r="B15" s="53" t="str">
        <x:f>Domain_Scoring!B3</x:f>
        <x:v>Personal data discovery and inventory</x:v>
      </x:c>
      <x:c r="C15" s="53" t="n">
        <x:f>Domain_Scoring!C3</x:f>
        <x:v>8</x:v>
      </x:c>
      <x:c r="D15" s="109" t="n">
        <x:f>Domain_Scoring!F3</x:f>
        <x:v>1.3714285714285714</x:v>
      </x:c>
      <x:c r="E15" s="67" t="n">
        <x:f>Domain_Scoring!G3</x:f>
        <x:v>0.17142857142857143</x:v>
      </x:c>
      <x:c r="F15" s="53" t="str">
        <x:f>Domain_Scoring!H3</x:f>
        <x:v>Level 0 - Not Started</x:v>
      </x:c>
      <x:c r="G15" s="53" t="n">
        <x:f>Domain_Scoring!I3</x:f>
        <x:v>1</x:v>
      </x:c>
      <x:c r="H15" s="53" t="n">
        <x:f>Domain_Scoring!J3</x:f>
        <x:v>6</x:v>
      </x:c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 ht="28" customHeight="1">
      <x:c r="A16" s="53" t="str">
        <x:f>Domain_Scoring!A4</x:f>
        <x:v>D03</x:v>
      </x:c>
      <x:c r="B16" s="53" t="str">
        <x:f>Domain_Scoring!B4</x:f>
        <x:v>ROPA / Records of Processing Activities</x:v>
      </x:c>
      <x:c r="C16" s="53" t="n">
        <x:f>Domain_Scoring!C4</x:f>
        <x:v>6</x:v>
      </x:c>
      <x:c r="D16" s="109" t="n">
        <x:f>Domain_Scoring!F4</x:f>
        <x:v>1.0499999999999998</x:v>
      </x:c>
      <x:c r="E16" s="67" t="n">
        <x:f>Domain_Scoring!G4</x:f>
        <x:v>0.17499999999999996</x:v>
      </x:c>
      <x:c r="F16" s="53" t="str">
        <x:f>Domain_Scoring!H4</x:f>
        <x:v>Level 0 - Not Started</x:v>
      </x:c>
      <x:c r="G16" s="53" t="n">
        <x:f>Domain_Scoring!I4</x:f>
        <x:v>1</x:v>
      </x:c>
      <x:c r="H16" s="53" t="n">
        <x:f>Domain_Scoring!J4</x:f>
        <x:v>7</x:v>
      </x:c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 ht="28" customHeight="1">
      <x:c r="A17" s="53" t="str">
        <x:f>Domain_Scoring!A5</x:f>
        <x:v>D04</x:v>
      </x:c>
      <x:c r="B17" s="53" t="str">
        <x:f>Domain_Scoring!B5</x:f>
        <x:v>Purpose, lawful basis and data minimisation</x:v>
      </x:c>
      <x:c r="C17" s="53" t="n">
        <x:f>Domain_Scoring!C5</x:f>
        <x:v>7</x:v>
      </x:c>
      <x:c r="D17" s="109" t="n">
        <x:f>Domain_Scoring!F5</x:f>
        <x:v>2.8000000000000003</x:v>
      </x:c>
      <x:c r="E17" s="67" t="n">
        <x:f>Domain_Scoring!G5</x:f>
        <x:v>0.4</x:v>
      </x:c>
      <x:c r="F17" s="53" t="str">
        <x:f>Domain_Scoring!H5</x:f>
        <x:v>Level 1 - Aware</x:v>
      </x:c>
      <x:c r="G17" s="53" t="n">
        <x:f>Domain_Scoring!I5</x:f>
        <x:v>0</x:v>
      </x:c>
      <x:c r="H17" s="53" t="n">
        <x:f>Domain_Scoring!J5</x:f>
        <x:v>0</x:v>
      </x:c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 ht="28" customHeight="1">
      <x:c r="A18" s="53" t="str">
        <x:f>Domain_Scoring!A6</x:f>
        <x:v>D05</x:v>
      </x:c>
      <x:c r="B18" s="53" t="str">
        <x:f>Domain_Scoring!B6</x:f>
        <x:v>Notice management</x:v>
      </x:c>
      <x:c r="C18" s="53" t="n">
        <x:f>Domain_Scoring!C6</x:f>
        <x:v>7</x:v>
      </x:c>
      <x:c r="D18" s="109" t="n">
        <x:f>Domain_Scoring!F6</x:f>
        <x:v>2.8000000000000003</x:v>
      </x:c>
      <x:c r="E18" s="67" t="n">
        <x:f>Domain_Scoring!G6</x:f>
        <x:v>0.4</x:v>
      </x:c>
      <x:c r="F18" s="53" t="str">
        <x:f>Domain_Scoring!H6</x:f>
        <x:v>Level 1 - Aware</x:v>
      </x:c>
      <x:c r="G18" s="53" t="n">
        <x:f>Domain_Scoring!I6</x:f>
        <x:v>0</x:v>
      </x:c>
      <x:c r="H18" s="53" t="n">
        <x:f>Domain_Scoring!J6</x:f>
        <x:v>0</x:v>
      </x:c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 ht="28" customHeight="1">
      <x:c r="A19" s="53" t="str">
        <x:f>Domain_Scoring!A7</x:f>
        <x:v>D06</x:v>
      </x:c>
      <x:c r="B19" s="53" t="str">
        <x:f>Domain_Scoring!B7</x:f>
        <x:v>Consent and consent withdrawal</x:v>
      </x:c>
      <x:c r="C19" s="53" t="n">
        <x:f>Domain_Scoring!C7</x:f>
        <x:v>7</x:v>
      </x:c>
      <x:c r="D19" s="109" t="n">
        <x:f>Domain_Scoring!F7</x:f>
        <x:v>1.1666666666666667</x:v>
      </x:c>
      <x:c r="E19" s="67" t="n">
        <x:f>Domain_Scoring!G7</x:f>
        <x:v>0.16666666666666669</x:v>
      </x:c>
      <x:c r="F19" s="53" t="str">
        <x:f>Domain_Scoring!H7</x:f>
        <x:v>Level 0 - Not Started</x:v>
      </x:c>
      <x:c r="G19" s="53" t="n">
        <x:f>Domain_Scoring!I7</x:f>
        <x:v>1</x:v>
      </x:c>
      <x:c r="H19" s="53" t="n">
        <x:f>Domain_Scoring!J7</x:f>
        <x:v>5</x:v>
      </x:c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 ht="28" customHeight="1">
      <x:c r="A20" s="53" t="str">
        <x:f>Domain_Scoring!A8</x:f>
        <x:v>D07</x:v>
      </x:c>
      <x:c r="B20" s="53" t="str">
        <x:f>Domain_Scoring!B8</x:f>
        <x:v>Data Principal rights</x:v>
      </x:c>
      <x:c r="C20" s="53" t="n">
        <x:f>Domain_Scoring!C8</x:f>
        <x:v>7</x:v>
      </x:c>
      <x:c r="D20" s="109" t="n">
        <x:f>Domain_Scoring!F8</x:f>
        <x:v>1.4000000000000001</x:v>
      </x:c>
      <x:c r="E20" s="67" t="n">
        <x:f>Domain_Scoring!G8</x:f>
        <x:v>0.2</x:v>
      </x:c>
      <x:c r="F20" s="53" t="str">
        <x:f>Domain_Scoring!H8</x:f>
        <x:v>Level 0 - Not Started</x:v>
      </x:c>
      <x:c r="G20" s="53" t="n">
        <x:f>Domain_Scoring!I8</x:f>
        <x:v>0</x:v>
      </x:c>
      <x:c r="H20" s="53" t="n">
        <x:f>Domain_Scoring!J8</x:f>
        <x:v>6</x:v>
      </x:c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 ht="28" customHeight="1">
      <x:c r="A21" s="53" t="str">
        <x:f>Domain_Scoring!A9</x:f>
        <x:v>D08</x:v>
      </x:c>
      <x:c r="B21" s="53" t="str">
        <x:f>Domain_Scoring!B9</x:f>
        <x:v>Grievance redressal and contact publication</x:v>
      </x:c>
      <x:c r="C21" s="53" t="n">
        <x:f>Domain_Scoring!C9</x:f>
        <x:v>5</x:v>
      </x:c>
      <x:c r="D21" s="109" t="n">
        <x:f>Domain_Scoring!F9</x:f>
        <x:v>0.6</x:v>
      </x:c>
      <x:c r="E21" s="67" t="n">
        <x:f>Domain_Scoring!G9</x:f>
        <x:v>0.12</x:v>
      </x:c>
      <x:c r="F21" s="53" t="str">
        <x:f>Domain_Scoring!H9</x:f>
        <x:v>Level 0 - Not Started</x:v>
      </x:c>
      <x:c r="G21" s="53" t="n">
        <x:f>Domain_Scoring!I9</x:f>
        <x:v>2</x:v>
      </x:c>
      <x:c r="H21" s="53" t="n">
        <x:f>Domain_Scoring!J9</x:f>
        <x:v>3</x:v>
      </x:c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 ht="28" customHeight="1">
      <x:c r="A22" s="53" t="str">
        <x:f>Domain_Scoring!A10</x:f>
        <x:v>D09</x:v>
      </x:c>
      <x:c r="B22" s="53" t="str">
        <x:f>Domain_Scoring!B10</x:f>
        <x:v>Retention, erasure and archival</x:v>
      </x:c>
      <x:c r="C22" s="53" t="n">
        <x:f>Domain_Scoring!C10</x:f>
        <x:v>6</x:v>
      </x:c>
      <x:c r="D22" s="109" t="n">
        <x:f>Domain_Scoring!F10</x:f>
        <x:v>1.2000000000000002</x:v>
      </x:c>
      <x:c r="E22" s="67" t="n">
        <x:f>Domain_Scoring!G10</x:f>
        <x:v>0.20000000000000004</x:v>
      </x:c>
      <x:c r="F22" s="53" t="str">
        <x:f>Domain_Scoring!H10</x:f>
        <x:v>Level 0 - Not Started</x:v>
      </x:c>
      <x:c r="G22" s="53" t="n">
        <x:f>Domain_Scoring!I10</x:f>
        <x:v>0</x:v>
      </x:c>
      <x:c r="H22" s="53" t="n">
        <x:f>Domain_Scoring!J10</x:f>
        <x:v>6</x:v>
      </x:c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 ht="28" customHeight="1">
      <x:c r="A23" s="53" t="str">
        <x:f>Domain_Scoring!A11</x:f>
        <x:v>D10</x:v>
      </x:c>
      <x:c r="B23" s="53" t="str">
        <x:f>Domain_Scoring!B11</x:f>
        <x:v>Data accuracy and quality</x:v>
      </x:c>
      <x:c r="C23" s="53" t="n">
        <x:f>Domain_Scoring!C11</x:f>
        <x:v>4</x:v>
      </x:c>
      <x:c r="D23" s="109" t="n">
        <x:f>Domain_Scoring!F11</x:f>
        <x:v>1.6</x:v>
      </x:c>
      <x:c r="E23" s="67" t="n">
        <x:f>Domain_Scoring!G11</x:f>
        <x:v>0.4</x:v>
      </x:c>
      <x:c r="F23" s="53" t="str">
        <x:f>Domain_Scoring!H11</x:f>
        <x:v>Level 1 - Aware</x:v>
      </x:c>
      <x:c r="G23" s="53" t="n">
        <x:f>Domain_Scoring!I11</x:f>
        <x:v>0</x:v>
      </x:c>
      <x:c r="H23" s="53" t="n">
        <x:f>Domain_Scoring!J11</x:f>
        <x:v>0</x:v>
      </x:c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 ht="28" customHeight="1">
      <x:c r="A24" s="53" t="str">
        <x:f>Domain_Scoring!A12</x:f>
        <x:v>D11</x:v>
      </x:c>
      <x:c r="B24" s="53" t="str">
        <x:f>Domain_Scoring!B12</x:f>
        <x:v>Security safeguards</x:v>
      </x:c>
      <x:c r="C24" s="53" t="n">
        <x:f>Domain_Scoring!C12</x:f>
        <x:v>10</x:v>
      </x:c>
      <x:c r="D24" s="109" t="n">
        <x:f>Domain_Scoring!F12</x:f>
        <x:v>4</x:v>
      </x:c>
      <x:c r="E24" s="67" t="n">
        <x:f>Domain_Scoring!G12</x:f>
        <x:v>0.4</x:v>
      </x:c>
      <x:c r="F24" s="53" t="str">
        <x:f>Domain_Scoring!H12</x:f>
        <x:v>Level 1 - Aware</x:v>
      </x:c>
      <x:c r="G24" s="53" t="n">
        <x:f>Domain_Scoring!I12</x:f>
        <x:v>0</x:v>
      </x:c>
      <x:c r="H24" s="53" t="n">
        <x:f>Domain_Scoring!J12</x:f>
        <x:v>0</x:v>
      </x:c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 ht="28" customHeight="1">
      <x:c r="A25" s="53" t="str">
        <x:f>Domain_Scoring!A13</x:f>
        <x:v>D12</x:v>
      </x:c>
      <x:c r="B25" s="53" t="str">
        <x:f>Domain_Scoring!B13</x:f>
        <x:v>Personal data breach readiness</x:v>
      </x:c>
      <x:c r="C25" s="53" t="n">
        <x:f>Domain_Scoring!C13</x:f>
        <x:v>8</x:v>
      </x:c>
      <x:c r="D25" s="109" t="n">
        <x:f>Domain_Scoring!F13</x:f>
        <x:v>1.0666666666666667</x:v>
      </x:c>
      <x:c r="E25" s="67" t="n">
        <x:f>Domain_Scoring!G13</x:f>
        <x:v>0.13333333333333333</x:v>
      </x:c>
      <x:c r="F25" s="53" t="str">
        <x:f>Domain_Scoring!H13</x:f>
        <x:v>Level 0 - Not Started</x:v>
      </x:c>
      <x:c r="G25" s="53" t="n">
        <x:f>Domain_Scoring!I13</x:f>
        <x:v>2</x:v>
      </x:c>
      <x:c r="H25" s="53" t="n">
        <x:f>Domain_Scoring!J13</x:f>
        <x:v>4</x:v>
      </x:c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 ht="28" customHeight="1">
      <x:c r="A26" s="53" t="str">
        <x:f>Domain_Scoring!A14</x:f>
        <x:v>D13</x:v>
      </x:c>
      <x:c r="B26" s="53" t="str">
        <x:f>Domain_Scoring!B14</x:f>
        <x:v>Vendor / Data Processor governance</x:v>
      </x:c>
      <x:c r="C26" s="53" t="n">
        <x:f>Domain_Scoring!C14</x:f>
        <x:v>7</x:v>
      </x:c>
      <x:c r="D26" s="109" t="n">
        <x:f>Domain_Scoring!F14</x:f>
        <x:v>1.1666666666666667</x:v>
      </x:c>
      <x:c r="E26" s="67" t="n">
        <x:f>Domain_Scoring!G14</x:f>
        <x:v>0.16666666666666669</x:v>
      </x:c>
      <x:c r="F26" s="53" t="str">
        <x:f>Domain_Scoring!H14</x:f>
        <x:v>Level 0 - Not Started</x:v>
      </x:c>
      <x:c r="G26" s="53" t="n">
        <x:f>Domain_Scoring!I14</x:f>
        <x:v>1</x:v>
      </x:c>
      <x:c r="H26" s="53" t="n">
        <x:f>Domain_Scoring!J14</x:f>
        <x:v>5</x:v>
      </x:c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 ht="28" customHeight="1">
      <x:c r="A27" s="53" t="str">
        <x:f>Domain_Scoring!A15</x:f>
        <x:v>D14</x:v>
      </x:c>
      <x:c r="B27" s="53" t="str">
        <x:f>Domain_Scoring!B15</x:f>
        <x:v>Children’s data and guardian consent</x:v>
      </x:c>
      <x:c r="C27" s="53" t="n">
        <x:f>Domain_Scoring!C15</x:f>
        <x:v>4</x:v>
      </x:c>
      <x:c r="D27" s="109" t="n">
        <x:f>Domain_Scoring!F15</x:f>
        <x:v>0.48</x:v>
      </x:c>
      <x:c r="E27" s="67" t="n">
        <x:f>Domain_Scoring!G15</x:f>
        <x:v>0.12</x:v>
      </x:c>
      <x:c r="F27" s="53" t="str">
        <x:f>Domain_Scoring!H15</x:f>
        <x:v>Level 0 - Not Started</x:v>
      </x:c>
      <x:c r="G27" s="53" t="n">
        <x:f>Domain_Scoring!I15</x:f>
        <x:v>2</x:v>
      </x:c>
      <x:c r="H27" s="53" t="n">
        <x:f>Domain_Scoring!J15</x:f>
        <x:v>3</x:v>
      </x:c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 ht="28" customHeight="1">
      <x:c r="A28" s="53" t="str">
        <x:f>Domain_Scoring!A16</x:f>
        <x:v>D15</x:v>
      </x:c>
      <x:c r="B28" s="53" t="str">
        <x:f>Domain_Scoring!B16</x:f>
        <x:v>Cross-border transfer and cloud/SaaS risk</x:v>
      </x:c>
      <x:c r="C28" s="53" t="n">
        <x:f>Domain_Scoring!C16</x:f>
        <x:v>3</x:v>
      </x:c>
      <x:c r="D28" s="109" t="n">
        <x:f>Domain_Scoring!F16</x:f>
        <x:v>0.6000000000000001</x:v>
      </x:c>
      <x:c r="E28" s="67" t="n">
        <x:f>Domain_Scoring!G16</x:f>
        <x:v>0.20000000000000004</x:v>
      </x:c>
      <x:c r="F28" s="53" t="str">
        <x:f>Domain_Scoring!H16</x:f>
        <x:v>Level 0 - Not Started</x:v>
      </x:c>
      <x:c r="G28" s="53" t="n">
        <x:f>Domain_Scoring!I16</x:f>
        <x:v>0</x:v>
      </x:c>
      <x:c r="H28" s="53" t="n">
        <x:f>Domain_Scoring!J16</x:f>
        <x:v>5</x:v>
      </x:c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 ht="28" customHeight="1">
      <x:c r="A29" s="53" t="str">
        <x:f>Domain_Scoring!A17</x:f>
        <x:v>D16</x:v>
      </x:c>
      <x:c r="B29" s="53" t="str">
        <x:f>Domain_Scoring!B17</x:f>
        <x:v>SDF, DPIA, audit and AI/algorithmic risk readiness</x:v>
      </x:c>
      <x:c r="C29" s="53" t="n">
        <x:f>Domain_Scoring!C17</x:f>
        <x:v>4</x:v>
      </x:c>
      <x:c r="D29" s="109" t="n">
        <x:f>Domain_Scoring!F17</x:f>
        <x:v>0.8</x:v>
      </x:c>
      <x:c r="E29" s="67" t="n">
        <x:f>Domain_Scoring!G17</x:f>
        <x:v>0.2</x:v>
      </x:c>
      <x:c r="F29" s="53" t="str">
        <x:f>Domain_Scoring!H17</x:f>
        <x:v>Level 0 - Not Started</x:v>
      </x:c>
      <x:c r="G29" s="53" t="n">
        <x:f>Domain_Scoring!I17</x:f>
        <x:v>0</x:v>
      </x:c>
      <x:c r="H29" s="53" t="n">
        <x:f>Domain_Scoring!J17</x:f>
        <x:v>6</x:v>
      </x:c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H1"/>
    <x:mergeCell ref="B11:H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3" hidden="0" customWidth="1"/>
    <x:col min="5" max="5" width="55" hidden="0" customWidth="1"/>
    <x:col min="6" max="6" width="12" hidden="0" customWidth="1"/>
    <x:col min="7" max="7" width="12" hidden="0" customWidth="1"/>
    <x:col min="8" max="8" width="25" hidden="0" customWidth="1"/>
    <x:col min="9" max="9" width="45" hidden="0" customWidth="1"/>
    <x:col min="10" max="10" width="28" hidden="0" customWidth="1"/>
    <x:col min="11" max="11" width="30" hidden="0" customWidth="1"/>
    <x:col min="12" max="12" width="28" hidden="0" customWidth="1"/>
    <x:col min="13" max="13" width="10" hidden="0" customWidth="1"/>
    <x:col min="14" max="14" width="16" hidden="0" customWidth="1"/>
    <x:col min="15" max="15" width="32" hidden="0" customWidth="1"/>
    <x:col min="16" max="16" width="42" hidden="0" customWidth="1"/>
  </x:cols>
  <x:sheetData>
    <x:row r="1">
      <x:c r="A1" s="63" t="str">
        <x:v>Action ID</x:v>
      </x:c>
      <x:c r="B1" s="63" t="str">
        <x:v>Question ID</x:v>
      </x:c>
      <x:c r="C1" s="63" t="str">
        <x:v>Domain</x:v>
      </x:c>
      <x:c r="D1" s="63" t="str">
        <x:v>Gap Trigger</x:v>
      </x:c>
      <x:c r="E1" s="63" t="str">
        <x:v>Gap / Finding</x:v>
      </x:c>
      <x:c r="F1" s="63" t="str">
        <x:v>Severity</x:v>
      </x:c>
      <x:c r="G1" s="63" t="str">
        <x:v>Priority</x:v>
      </x:c>
      <x:c r="H1" s="63" t="str">
        <x:v>Root Cause</x:v>
      </x:c>
      <x:c r="I1" s="63" t="str">
        <x:v>Recommended Fix</x:v>
      </x:c>
      <x:c r="J1" s="63" t="str">
        <x:v>Client Owner</x:v>
      </x:c>
      <x:c r="K1" s="63" t="str">
        <x:v>Anix AI Role</x:v>
      </x:c>
      <x:c r="L1" s="63" t="str">
        <x:v>TrustStack Module</x:v>
      </x:c>
      <x:c r="M1" s="63" t="str">
        <x:v>Due Days</x:v>
      </x:c>
      <x:c r="N1" s="63" t="str">
        <x:v>Status</x:v>
      </x:c>
      <x:c r="O1" s="63" t="str">
        <x:v>Evidence Required</x:v>
      </x:c>
      <x:c r="P1" s="63" t="str">
        <x:v>Reassessment Impact</x:v>
      </x:c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ACT-G1.1</x:v>
      </x:c>
      <x:c r="B2" s="55" t="str">
        <x:v>G1.1</x:v>
      </x:c>
      <x:c r="C2" s="55" t="str">
        <x:v>Governance, accountability and DPDP ownership</x:v>
      </x:c>
      <x:c r="D2" s="55" t="str">
        <x:f>IF(Responses!$J2="","N/A",IF(Responses!$J2&lt;=3,"Yes","No"))</x:f>
        <x:v>Yes</x:v>
      </x:c>
      <x:c r="E2" s="55" t="str">
        <x:v>Review and remediate: Has the organisation identified whether it acts as Data Fiduciary, Data Processor, or both for different processes?</x:v>
      </x:c>
      <x:c r="F2" s="55" t="str">
        <x:f>Responses!$K2</x:f>
        <x:v>Medium</x:v>
      </x:c>
      <x:c r="G2" s="55" t="str">
        <x:f>Responses!$L2</x:f>
        <x:v>P2</x:v>
      </x:c>
      <x:c r="H2" s="55" t="str">
        <x:v>Governance gap</x:v>
      </x:c>
      <x:c r="I2" s="55" t="str">
        <x:v>Create role-mapping for each major process and vendor relationship.</x:v>
      </x:c>
      <x:c r="J2" s="55" t="str">
        <x:v>Executive Sponsor / DPDP Owner</x:v>
      </x:c>
      <x:c r="K2" s="55" t="str">
        <x:v>Engagement Partner / PMO</x:v>
      </x:c>
      <x:c r="L2" s="55" t="str">
        <x:v>Governance Repository</x:v>
      </x:c>
      <x:c r="M2" s="55" t="n">
        <x:v>30</x:v>
      </x:c>
      <x:c r="N2" s="55" t="str">
        <x:v>Open</x:v>
      </x:c>
      <x:c r="O2" s="55" t="str">
        <x:v>Role mapping document / fiduciary-processor classification</x:v>
      </x:c>
      <x:c r="P2" s="55" t="str">
        <x:v>Score can improve after evidence-supported implementation and monitoring.</x:v>
      </x:c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ACT-G1.2</x:v>
      </x:c>
      <x:c r="B3" s="55" t="str">
        <x:v>G1.2</x:v>
      </x:c>
      <x:c r="C3" s="55" t="str">
        <x:v>Governance, accountability and DPDP ownership</x:v>
      </x:c>
      <x:c r="D3" s="55" t="str">
        <x:f>IF(Responses!$J3="","N/A",IF(Responses!$J3&lt;=3,"Yes","No"))</x:f>
        <x:v>Yes</x:v>
      </x:c>
      <x:c r="E3" s="55" t="str">
        <x:v>Review and remediate: Is there a formally nominated DPDP owner or nodal officer?</x:v>
      </x:c>
      <x:c r="F3" s="55" t="str">
        <x:f>Responses!$K3</x:f>
        <x:v>High</x:v>
      </x:c>
      <x:c r="G3" s="55" t="str">
        <x:f>Responses!$L3</x:f>
        <x:v>P1</x:v>
      </x:c>
      <x:c r="H3" s="55" t="str">
        <x:v>Governance gap</x:v>
      </x:c>
      <x:c r="I3" s="55" t="str">
        <x:v>Nominate DPDP owner and publish internal responsibility note.</x:v>
      </x:c>
      <x:c r="J3" s="55" t="str">
        <x:v>Executive Sponsor / DPDP Owner</x:v>
      </x:c>
      <x:c r="K3" s="55" t="str">
        <x:v>Engagement Partner / PMO</x:v>
      </x:c>
      <x:c r="L3" s="55" t="str">
        <x:v>Governance Repository</x:v>
      </x:c>
      <x:c r="M3" s="55" t="n">
        <x:v>30</x:v>
      </x:c>
      <x:c r="N3" s="55" t="str">
        <x:v>Open</x:v>
      </x:c>
      <x:c r="O3" s="55" t="str">
        <x:v>Appointment note / office order / email</x:v>
      </x:c>
      <x:c r="P3" s="55" t="str">
        <x:v>Score can improve after evidence-supported implementation and monitoring.</x:v>
      </x:c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ACT-G1.3</x:v>
      </x:c>
      <x:c r="B4" s="55" t="str">
        <x:v>G1.3</x:v>
      </x:c>
      <x:c r="C4" s="55" t="str">
        <x:v>Governance, accountability and DPDP ownership</x:v>
      </x:c>
      <x:c r="D4" s="55" t="str">
        <x:f>IF(Responses!$J4="","N/A",IF(Responses!$J4&lt;=3,"Yes","No"))</x:f>
        <x:v>Yes</x:v>
      </x:c>
      <x:c r="E4" s="55" t="str">
        <x:v>Review and remediate: Is there a DPDP steering committee covering legal, IT, security, HR, business/process owners and procurement?</x:v>
      </x:c>
      <x:c r="F4" s="55" t="str">
        <x:f>Responses!$K4</x:f>
        <x:v>Medium</x:v>
      </x:c>
      <x:c r="G4" s="55" t="str">
        <x:f>Responses!$L4</x:f>
        <x:v>P2</x:v>
      </x:c>
      <x:c r="H4" s="55" t="str">
        <x:v>Governance gap</x:v>
      </x:c>
      <x:c r="I4" s="55" t="str">
        <x:v>Create steering committee and monthly review cadence.</x:v>
      </x:c>
      <x:c r="J4" s="55" t="str">
        <x:v>Executive Sponsor / DPDP Owner</x:v>
      </x:c>
      <x:c r="K4" s="55" t="str">
        <x:v>Engagement Partner / PMO</x:v>
      </x:c>
      <x:c r="L4" s="55" t="str">
        <x:v>Governance Repository</x:v>
      </x:c>
      <x:c r="M4" s="55" t="n">
        <x:v>30</x:v>
      </x:c>
      <x:c r="N4" s="55" t="str">
        <x:v>Open</x:v>
      </x:c>
      <x:c r="O4" s="55" t="str">
        <x:v>Committee charter and meeting minutes</x:v>
      </x:c>
      <x:c r="P4" s="55" t="str">
        <x:v>Score can improve after evidence-supported implementation and monitoring.</x:v>
      </x:c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ACT-G1.4</x:v>
      </x:c>
      <x:c r="B5" s="55" t="str">
        <x:v>G1.4</x:v>
      </x:c>
      <x:c r="C5" s="55" t="str">
        <x:v>Governance, accountability and DPDP ownership</x:v>
      </x:c>
      <x:c r="D5" s="55" t="str">
        <x:f>IF(Responses!$J5="","N/A",IF(Responses!$J5&lt;=3,"Yes","No"))</x:f>
        <x:v>Yes</x:v>
      </x:c>
      <x:c r="E5" s="55" t="str">
        <x:v>Review and remediate: Are department/process owners accountable for personal data collected and used in their processes?</x:v>
      </x:c>
      <x:c r="F5" s="55" t="str">
        <x:f>Responses!$K5</x:f>
        <x:v>Medium</x:v>
      </x:c>
      <x:c r="G5" s="55" t="str">
        <x:f>Responses!$L5</x:f>
        <x:v>P2</x:v>
      </x:c>
      <x:c r="H5" s="55" t="str">
        <x:v>Governance gap</x:v>
      </x:c>
      <x:c r="I5" s="55" t="str">
        <x:v>Define RACI across all personal-data processes.</x:v>
      </x:c>
      <x:c r="J5" s="55" t="str">
        <x:v>Executive Sponsor / DPDP Owner</x:v>
      </x:c>
      <x:c r="K5" s="55" t="str">
        <x:v>Engagement Partner / PMO</x:v>
      </x:c>
      <x:c r="L5" s="55" t="str">
        <x:v>Governance Repository</x:v>
      </x:c>
      <x:c r="M5" s="55" t="n">
        <x:v>30</x:v>
      </x:c>
      <x:c r="N5" s="55" t="str">
        <x:v>Open</x:v>
      </x:c>
      <x:c r="O5" s="55" t="str">
        <x:v>RACI matrix</x:v>
      </x:c>
      <x:c r="P5" s="55" t="str">
        <x:v>Score can improve after evidence-supported implementation and monitoring.</x:v>
      </x:c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ACT-G1.5</x:v>
      </x:c>
      <x:c r="B6" s="55" t="str">
        <x:v>G1.5</x:v>
      </x:c>
      <x:c r="C6" s="55" t="str">
        <x:v>Governance, accountability and DPDP ownership</x:v>
      </x:c>
      <x:c r="D6" s="55" t="str">
        <x:f>IF(Responses!$J6="","N/A",IF(Responses!$J6&lt;=3,"Yes","No"))</x:f>
        <x:v>Yes</x:v>
      </x:c>
      <x:c r="E6" s="55" t="str">
        <x:v>Review and remediate: Is DPDP compliance included in management reporting or enterprise risk governance?</x:v>
      </x:c>
      <x:c r="F6" s="55" t="str">
        <x:f>Responses!$K6</x:f>
        <x:v>Medium</x:v>
      </x:c>
      <x:c r="G6" s="55" t="str">
        <x:f>Responses!$L6</x:f>
        <x:v>P2</x:v>
      </x:c>
      <x:c r="H6" s="55" t="str">
        <x:v>Governance gap</x:v>
      </x:c>
      <x:c r="I6" s="55" t="str">
        <x:v>Add DPDP score, red flags and overdue actions to leadership review.</x:v>
      </x:c>
      <x:c r="J6" s="55" t="str">
        <x:v>Executive Sponsor / DPDP Owner</x:v>
      </x:c>
      <x:c r="K6" s="55" t="str">
        <x:v>Engagement Partner / PMO</x:v>
      </x:c>
      <x:c r="L6" s="55" t="str">
        <x:v>Governance Repository</x:v>
      </x:c>
      <x:c r="M6" s="55" t="n">
        <x:v>30</x:v>
      </x:c>
      <x:c r="N6" s="55" t="str">
        <x:v>Open</x:v>
      </x:c>
      <x:c r="O6" s="55" t="str">
        <x:v>Dashboard / risk review minutes</x:v>
      </x:c>
      <x:c r="P6" s="55" t="str">
        <x:v>Score can improve after evidence-supported implementation and monitoring.</x:v>
      </x:c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ACT-G1.6</x:v>
      </x:c>
      <x:c r="B7" s="55" t="str">
        <x:v>G1.6</x:v>
      </x:c>
      <x:c r="C7" s="55" t="str">
        <x:v>Governance, accountability and DPDP ownership</x:v>
      </x:c>
      <x:c r="D7" s="55" t="str">
        <x:f>IF(Responses!$J7="","N/A",IF(Responses!$J7&lt;=3,"Yes","No"))</x:f>
        <x:v>Yes</x:v>
      </x:c>
      <x:c r="E7" s="55" t="str">
        <x:v>Review and remediate: Are responsibilities defined for branches, affiliated colleges, subsidiaries or distributed units?</x:v>
      </x:c>
      <x:c r="F7" s="55" t="str">
        <x:f>Responses!$K7</x:f>
        <x:v>Medium</x:v>
      </x:c>
      <x:c r="G7" s="55" t="str">
        <x:f>Responses!$L7</x:f>
        <x:v>P2</x:v>
      </x:c>
      <x:c r="H7" s="55" t="str">
        <x:v>Governance gap</x:v>
      </x:c>
      <x:c r="I7" s="55" t="str">
        <x:v>Create distributed-unit responsibility model and coordinator network.</x:v>
      </x:c>
      <x:c r="J7" s="55" t="str">
        <x:v>Executive Sponsor / DPDP Owner</x:v>
      </x:c>
      <x:c r="K7" s="55" t="str">
        <x:v>Engagement Partner / PMO</x:v>
      </x:c>
      <x:c r="L7" s="55" t="str">
        <x:v>Governance Repository</x:v>
      </x:c>
      <x:c r="M7" s="55" t="n">
        <x:v>30</x:v>
      </x:c>
      <x:c r="N7" s="55" t="str">
        <x:v>Open</x:v>
      </x:c>
      <x:c r="O7" s="55" t="str">
        <x:v>Responsibility matrix / operating note</x:v>
      </x:c>
      <x:c r="P7" s="55" t="str">
        <x:v>Score can improve after evidence-supported implementation and monitoring.</x:v>
      </x:c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ACT-G1.7</x:v>
      </x:c>
      <x:c r="B8" s="55" t="str">
        <x:v>G1.7</x:v>
      </x:c>
      <x:c r="C8" s="55" t="str">
        <x:v>Governance, accountability and DPDP ownership</x:v>
      </x:c>
      <x:c r="D8" s="55" t="str">
        <x:f>IF(Responses!$J8="","N/A",IF(Responses!$J8&lt;=3,"Yes","No"))</x:f>
        <x:v>Yes</x:v>
      </x:c>
      <x:c r="E8" s="55" t="str">
        <x:v>Review and remediate: Is there a budget/resource plan for DPDP remediation and operating controls?</x:v>
      </x:c>
      <x:c r="F8" s="55" t="str">
        <x:f>Responses!$K8</x:f>
        <x:v>Medium</x:v>
      </x:c>
      <x:c r="G8" s="55" t="str">
        <x:f>Responses!$L8</x:f>
        <x:v>P2</x:v>
      </x:c>
      <x:c r="H8" s="55" t="str">
        <x:v>Governance gap</x:v>
      </x:c>
      <x:c r="I8" s="55" t="str">
        <x:v>Approve budget for assessment, remediation, technology and training.</x:v>
      </x:c>
      <x:c r="J8" s="55" t="str">
        <x:v>Executive Sponsor / DPDP Owner</x:v>
      </x:c>
      <x:c r="K8" s="55" t="str">
        <x:v>Engagement Partner / PMO</x:v>
      </x:c>
      <x:c r="L8" s="55" t="str">
        <x:v>Governance Repository</x:v>
      </x:c>
      <x:c r="M8" s="55" t="n">
        <x:v>30</x:v>
      </x:c>
      <x:c r="N8" s="55" t="str">
        <x:v>Open</x:v>
      </x:c>
      <x:c r="O8" s="55" t="str">
        <x:v>Budget note / project plan / resource allocation</x:v>
      </x:c>
      <x:c r="P8" s="55" t="str">
        <x:v>Score can improve after evidence-supported implementation and monitoring.</x:v>
      </x:c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 t="str">
        <x:v>ACT-DI1.1</x:v>
      </x:c>
      <x:c r="B9" s="55" t="str">
        <x:v>DI1.1</x:v>
      </x:c>
      <x:c r="C9" s="55" t="str">
        <x:v>Personal data discovery and inventory</x:v>
      </x:c>
      <x:c r="D9" s="55" t="str">
        <x:f>IF(Responses!$J9="","N/A",IF(Responses!$J9&lt;=3,"Yes","No"))</x:f>
        <x:v>N/A</x:v>
      </x:c>
      <x:c r="E9" s="55" t="str">
        <x:v>Review and remediate: Has the organisation identified all personal data it collects, stores, uses, shares and deletes?</x:v>
      </x:c>
      <x:c r="F9" s="55" t="str">
        <x:f>Responses!$K9</x:f>
        <x:v>Critical</x:v>
      </x:c>
      <x:c r="G9" s="55" t="str">
        <x:f>Responses!$L9</x:f>
        <x:v>P0</x:v>
      </x:c>
      <x:c r="H9" s="55" t="str">
        <x:v>Data discovery gap</x:v>
      </x:c>
      <x:c r="I9" s="55" t="str">
        <x:v>Launch enterprise-wide personal data inventory exercise.</x:v>
      </x:c>
      <x:c r="J9" s="55" t="str">
        <x:v>IT + Process Owners</x:v>
      </x:c>
      <x:c r="K9" s="55" t="str">
        <x:v>Data Discovery Lead</x:v>
      </x:c>
      <x:c r="L9" s="55" t="str">
        <x:v>Data Inventory Register</x:v>
      </x:c>
      <x:c r="M9" s="55" t="n">
        <x:v>30</x:v>
      </x:c>
      <x:c r="N9" s="55" t="str">
        <x:v>Open</x:v>
      </x:c>
      <x:c r="O9" s="55" t="str">
        <x:v>Personal data inventory</x:v>
      </x:c>
      <x:c r="P9" s="55" t="str">
        <x:v>Score can improve after evidence-supported implementation and monitoring.</x:v>
      </x:c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 t="str">
        <x:v>ACT-DI1.2</x:v>
      </x:c>
      <x:c r="B10" s="55" t="str">
        <x:v>DI1.2</x:v>
      </x:c>
      <x:c r="C10" s="55" t="str">
        <x:v>Personal data discovery and inventory</x:v>
      </x:c>
      <x:c r="D10" s="55" t="str">
        <x:f>IF(Responses!$J10="","N/A",IF(Responses!$J10&lt;=3,"Yes","No"))</x:f>
        <x:v>Yes</x:v>
      </x:c>
      <x:c r="E10" s="55" t="str">
        <x:v>Review and remediate: Are personal data categories mapped by Data Principal type such as student, applicant, employee, vendor, customer, parent and alumni?</x:v>
      </x:c>
      <x:c r="F10" s="55" t="str">
        <x:f>Responses!$K10</x:f>
        <x:v>High</x:v>
      </x:c>
      <x:c r="G10" s="55" t="str">
        <x:f>Responses!$L10</x:f>
        <x:v>P1</x:v>
      </x:c>
      <x:c r="H10" s="55" t="str">
        <x:v>Data discovery gap</x:v>
      </x:c>
      <x:c r="I10" s="55" t="str">
        <x:v>Map data categories by Data Principal segment.</x:v>
      </x:c>
      <x:c r="J10" s="55" t="str">
        <x:v>IT + Process Owners</x:v>
      </x:c>
      <x:c r="K10" s="55" t="str">
        <x:v>Data Discovery Lead</x:v>
      </x:c>
      <x:c r="L10" s="55" t="str">
        <x:v>Data Inventory Register</x:v>
      </x:c>
      <x:c r="M10" s="55" t="n">
        <x:v>30</x:v>
      </x:c>
      <x:c r="N10" s="55" t="str">
        <x:v>Open</x:v>
      </x:c>
      <x:c r="O10" s="55" t="str">
        <x:v>Data category register</x:v>
      </x:c>
      <x:c r="P10" s="55" t="str">
        <x:v>Score can improve after evidence-supported implementation and monitoring.</x:v>
      </x:c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ACT-DI1.3</x:v>
      </x:c>
      <x:c r="B11" s="55" t="str">
        <x:v>DI1.3</x:v>
      </x:c>
      <x:c r="C11" s="55" t="str">
        <x:v>Personal data discovery and inventory</x:v>
      </x:c>
      <x:c r="D11" s="55" t="str">
        <x:f>IF(Responses!$J11="","N/A",IF(Responses!$J11&lt;=3,"Yes","No"))</x:f>
        <x:v>Yes</x:v>
      </x:c>
      <x:c r="E11" s="55" t="str">
        <x:v>Review and remediate: Are all collection points mapped, including website forms, apps, ERP, CRM, LMS, HRMS, emails, spreadsheets and APIs?</x:v>
      </x:c>
      <x:c r="F11" s="55" t="str">
        <x:f>Responses!$K11</x:f>
        <x:v>High</x:v>
      </x:c>
      <x:c r="G11" s="55" t="str">
        <x:f>Responses!$L11</x:f>
        <x:v>P1</x:v>
      </x:c>
      <x:c r="H11" s="55" t="str">
        <x:v>Data discovery gap</x:v>
      </x:c>
      <x:c r="I11" s="55" t="str">
        <x:v>Create inventory of digital and digitised collection points.</x:v>
      </x:c>
      <x:c r="J11" s="55" t="str">
        <x:v>IT + Process Owners</x:v>
      </x:c>
      <x:c r="K11" s="55" t="str">
        <x:v>Data Discovery Lead</x:v>
      </x:c>
      <x:c r="L11" s="55" t="str">
        <x:v>Data Inventory Register</x:v>
      </x:c>
      <x:c r="M11" s="55" t="n">
        <x:v>30</x:v>
      </x:c>
      <x:c r="N11" s="55" t="str">
        <x:v>Open</x:v>
      </x:c>
      <x:c r="O11" s="55" t="str">
        <x:v>Collection-point inventory</x:v>
      </x:c>
      <x:c r="P11" s="55" t="str">
        <x:v>Score can improve after evidence-supported implementation and monitoring.</x:v>
      </x:c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str">
        <x:v>ACT-DI1.4</x:v>
      </x:c>
      <x:c r="B12" s="55" t="str">
        <x:v>DI1.4</x:v>
      </x:c>
      <x:c r="C12" s="55" t="str">
        <x:v>Personal data discovery and inventory</x:v>
      </x:c>
      <x:c r="D12" s="55" t="str">
        <x:f>IF(Responses!$J12="","N/A",IF(Responses!$J12&lt;=3,"Yes","No"))</x:f>
        <x:v>Yes</x:v>
      </x:c>
      <x:c r="E12" s="55" t="str">
        <x:v>Review and remediate: Are systems storing personal data documented with owner, location, access roles and vendor details?</x:v>
      </x:c>
      <x:c r="F12" s="55" t="str">
        <x:f>Responses!$K12</x:f>
        <x:v>High</x:v>
      </x:c>
      <x:c r="G12" s="55" t="str">
        <x:f>Responses!$L12</x:f>
        <x:v>P1</x:v>
      </x:c>
      <x:c r="H12" s="55" t="str">
        <x:v>Data discovery gap</x:v>
      </x:c>
      <x:c r="I12" s="55" t="str">
        <x:v>Build system register with ownership and location details.</x:v>
      </x:c>
      <x:c r="J12" s="55" t="str">
        <x:v>IT + Process Owners</x:v>
      </x:c>
      <x:c r="K12" s="55" t="str">
        <x:v>Data Discovery Lead</x:v>
      </x:c>
      <x:c r="L12" s="55" t="str">
        <x:v>Data Inventory Register</x:v>
      </x:c>
      <x:c r="M12" s="55" t="n">
        <x:v>30</x:v>
      </x:c>
      <x:c r="N12" s="55" t="str">
        <x:v>Open</x:v>
      </x:c>
      <x:c r="O12" s="55" t="str">
        <x:v>System inventory</x:v>
      </x:c>
      <x:c r="P12" s="55" t="str">
        <x:v>Score can improve after evidence-supported implementation and monitoring.</x:v>
      </x:c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ACT-DI1.5</x:v>
      </x:c>
      <x:c r="B13" s="55" t="str">
        <x:v>DI1.5</x:v>
      </x:c>
      <x:c r="C13" s="55" t="str">
        <x:v>Personal data discovery and inventory</x:v>
      </x:c>
      <x:c r="D13" s="55" t="str">
        <x:f>IF(Responses!$J13="","N/A",IF(Responses!$J13&lt;=3,"Yes","No"))</x:f>
        <x:v>Yes</x:v>
      </x:c>
      <x:c r="E13" s="55" t="str">
        <x:v>Review and remediate: Are personal data flows mapped across departments, vendors, cloud platforms, affiliated entities and external agencies?</x:v>
      </x:c>
      <x:c r="F13" s="55" t="str">
        <x:f>Responses!$K13</x:f>
        <x:v>High</x:v>
      </x:c>
      <x:c r="G13" s="55" t="str">
        <x:f>Responses!$L13</x:f>
        <x:v>P1</x:v>
      </x:c>
      <x:c r="H13" s="55" t="str">
        <x:v>Data discovery gap</x:v>
      </x:c>
      <x:c r="I13" s="55" t="str">
        <x:v>Map internal, external and vendor data flows.</x:v>
      </x:c>
      <x:c r="J13" s="55" t="str">
        <x:v>IT + Process Owners</x:v>
      </x:c>
      <x:c r="K13" s="55" t="str">
        <x:v>Data Discovery Lead</x:v>
      </x:c>
      <x:c r="L13" s="55" t="str">
        <x:v>Data Inventory Register</x:v>
      </x:c>
      <x:c r="M13" s="55" t="n">
        <x:v>30</x:v>
      </x:c>
      <x:c r="N13" s="55" t="str">
        <x:v>Open</x:v>
      </x:c>
      <x:c r="O13" s="55" t="str">
        <x:v>Data-flow map</x:v>
      </x:c>
      <x:c r="P13" s="55" t="str">
        <x:v>Score can improve after evidence-supported implementation and monitoring.</x:v>
      </x:c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str">
        <x:v>ACT-DI1.6</x:v>
      </x:c>
      <x:c r="B14" s="55" t="str">
        <x:v>DI1.6</x:v>
      </x:c>
      <x:c r="C14" s="55" t="str">
        <x:v>Personal data discovery and inventory</x:v>
      </x:c>
      <x:c r="D14" s="55" t="str">
        <x:f>IF(Responses!$J14="","N/A",IF(Responses!$J14&lt;=3,"Yes","No"))</x:f>
        <x:v>Yes</x:v>
      </x:c>
      <x:c r="E14" s="55" t="str">
        <x:v>Review and remediate: Is there a process to update inventory when new forms, systems, vendors, AI tools or workflows are introduced?</x:v>
      </x:c>
      <x:c r="F14" s="55" t="str">
        <x:f>Responses!$K14</x:f>
        <x:v>High</x:v>
      </x:c>
      <x:c r="G14" s="55" t="str">
        <x:f>Responses!$L14</x:f>
        <x:v>P1</x:v>
      </x:c>
      <x:c r="H14" s="55" t="str">
        <x:v>Data discovery gap</x:v>
      </x:c>
      <x:c r="I14" s="55" t="str">
        <x:v>Add DPDP review to change-management lifecycle.</x:v>
      </x:c>
      <x:c r="J14" s="55" t="str">
        <x:v>IT + Process Owners</x:v>
      </x:c>
      <x:c r="K14" s="55" t="str">
        <x:v>Data Discovery Lead</x:v>
      </x:c>
      <x:c r="L14" s="55" t="str">
        <x:v>Data Inventory Register</x:v>
      </x:c>
      <x:c r="M14" s="55" t="n">
        <x:v>30</x:v>
      </x:c>
      <x:c r="N14" s="55" t="str">
        <x:v>Open</x:v>
      </x:c>
      <x:c r="O14" s="55" t="str">
        <x:v>Change/update SOP</x:v>
      </x:c>
      <x:c r="P14" s="55" t="str">
        <x:v>Score can improve after evidence-supported implementation and monitoring.</x:v>
      </x:c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5" t="str">
        <x:v>ACT-DI1.7</x:v>
      </x:c>
      <x:c r="B15" s="55" t="str">
        <x:v>DI1.7</x:v>
      </x:c>
      <x:c r="C15" s="55" t="str">
        <x:v>Personal data discovery and inventory</x:v>
      </x:c>
      <x:c r="D15" s="55" t="str">
        <x:f>IF(Responses!$J15="","N/A",IF(Responses!$J15&lt;=3,"Yes","No"))</x:f>
        <x:v>Yes</x:v>
      </x:c>
      <x:c r="E15" s="55" t="str">
        <x:v>Review and remediate: Are offline forms that are later digitised included in the data inventory?</x:v>
      </x:c>
      <x:c r="F15" s="55" t="str">
        <x:f>Responses!$K15</x:f>
        <x:v>High</x:v>
      </x:c>
      <x:c r="G15" s="55" t="str">
        <x:f>Responses!$L15</x:f>
        <x:v>P1</x:v>
      </x:c>
      <x:c r="H15" s="55" t="str">
        <x:v>Data discovery gap</x:v>
      </x:c>
      <x:c r="I15" s="55" t="str">
        <x:v>Include offline collection that is digitised into systems or spreadsheets.</x:v>
      </x:c>
      <x:c r="J15" s="55" t="str">
        <x:v>IT + Process Owners</x:v>
      </x:c>
      <x:c r="K15" s="55" t="str">
        <x:v>Data Discovery Lead</x:v>
      </x:c>
      <x:c r="L15" s="55" t="str">
        <x:v>Data Inventory Register</x:v>
      </x:c>
      <x:c r="M15" s="55" t="n">
        <x:v>30</x:v>
      </x:c>
      <x:c r="N15" s="55" t="str">
        <x:v>Open</x:v>
      </x:c>
      <x:c r="O15" s="55" t="str">
        <x:v>Offline-to-digital inventory evidence</x:v>
      </x:c>
      <x:c r="P15" s="55" t="str">
        <x:v>Score can improve after evidence-supported implementation and monitoring.</x:v>
      </x:c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 t="str">
        <x:v>ACT-ROPA1.1</x:v>
      </x:c>
      <x:c r="B16" s="55" t="str">
        <x:v>ROPA1.1</x:v>
      </x:c>
      <x:c r="C16" s="55" t="str">
        <x:v>ROPA / Records of Processing Activities</x:v>
      </x:c>
      <x:c r="D16" s="55" t="str">
        <x:f>IF(Responses!$J16="","N/A",IF(Responses!$J16&lt;=3,"Yes","No"))</x:f>
        <x:v>N/A</x:v>
      </x:c>
      <x:c r="E16" s="55" t="str">
        <x:v>Review and remediate: Has the organisation created a processing activity register for major personal-data processes?</x:v>
      </x:c>
      <x:c r="F16" s="55" t="str">
        <x:f>Responses!$K16</x:f>
        <x:v>Critical</x:v>
      </x:c>
      <x:c r="G16" s="55" t="str">
        <x:f>Responses!$L16</x:f>
        <x:v>P0</x:v>
      </x:c>
      <x:c r="H16" s="55" t="str">
        <x:v>ROPA / processing governance gap</x:v>
      </x:c>
      <x:c r="I16" s="55" t="str">
        <x:v>Create ROPA register covering all major processes.</x:v>
      </x:c>
      <x:c r="J16" s="55" t="str">
        <x:v>DPDP Owner + Process Owners</x:v>
      </x:c>
      <x:c r="K16" s="55" t="str">
        <x:v>Privacy Operations Consultant</x:v>
      </x:c>
      <x:c r="L16" s="55" t="str">
        <x:v>ROPA / Processing Activity Register</x:v>
      </x:c>
      <x:c r="M16" s="55" t="n">
        <x:v>30</x:v>
      </x:c>
      <x:c r="N16" s="55" t="str">
        <x:v>Open</x:v>
      </x:c>
      <x:c r="O16" s="55" t="str">
        <x:v>ROPA register</x:v>
      </x:c>
      <x:c r="P16" s="55" t="str">
        <x:v>Score can improve after evidence-supported implementation and monitoring.</x:v>
      </x:c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5" t="str">
        <x:v>ACT-ROPA1.2</x:v>
      </x:c>
      <x:c r="B17" s="55" t="str">
        <x:v>ROPA1.2</x:v>
      </x:c>
      <x:c r="C17" s="55" t="str">
        <x:v>ROPA / Records of Processing Activities</x:v>
      </x:c>
      <x:c r="D17" s="55" t="str">
        <x:f>IF(Responses!$J17="","N/A",IF(Responses!$J17&lt;=3,"Yes","No"))</x:f>
        <x:v>Yes</x:v>
      </x:c>
      <x:c r="E17" s="55" t="str">
        <x:v>Review and remediate: Does each processing record identify the process owner and department?</x:v>
      </x:c>
      <x:c r="F17" s="55" t="str">
        <x:f>Responses!$K17</x:f>
        <x:v>High</x:v>
      </x:c>
      <x:c r="G17" s="55" t="str">
        <x:f>Responses!$L17</x:f>
        <x:v>P1</x:v>
      </x:c>
      <x:c r="H17" s="55" t="str">
        <x:v>ROPA / processing governance gap</x:v>
      </x:c>
      <x:c r="I17" s="55" t="str">
        <x:v>Add department and accountable owner to every processing record.</x:v>
      </x:c>
      <x:c r="J17" s="55" t="str">
        <x:v>DPDP Owner + Process Owners</x:v>
      </x:c>
      <x:c r="K17" s="55" t="str">
        <x:v>Privacy Operations Consultant</x:v>
      </x:c>
      <x:c r="L17" s="55" t="str">
        <x:v>ROPA / Processing Activity Register</x:v>
      </x:c>
      <x:c r="M17" s="55" t="n">
        <x:v>30</x:v>
      </x:c>
      <x:c r="N17" s="55" t="str">
        <x:v>Open</x:v>
      </x:c>
      <x:c r="O17" s="55" t="str">
        <x:v>Owner mapping within ROPA</x:v>
      </x:c>
      <x:c r="P17" s="55" t="str">
        <x:v>Score can improve after evidence-supported implementation and monitoring.</x:v>
      </x:c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5" t="str">
        <x:v>ACT-ROPA1.3</x:v>
      </x:c>
      <x:c r="B18" s="55" t="str">
        <x:v>ROPA1.3</x:v>
      </x:c>
      <x:c r="C18" s="55" t="str">
        <x:v>ROPA / Records of Processing Activities</x:v>
      </x:c>
      <x:c r="D18" s="55" t="str">
        <x:f>IF(Responses!$J18="","N/A",IF(Responses!$J18&lt;=3,"Yes","No"))</x:f>
        <x:v>Yes</x:v>
      </x:c>
      <x:c r="E18" s="55" t="str">
        <x:v>Review and remediate: Does each record identify Data Principal type and personal data categories?</x:v>
      </x:c>
      <x:c r="F18" s="55" t="str">
        <x:f>Responses!$K18</x:f>
        <x:v>High</x:v>
      </x:c>
      <x:c r="G18" s="55" t="str">
        <x:f>Responses!$L18</x:f>
        <x:v>P1</x:v>
      </x:c>
      <x:c r="H18" s="55" t="str">
        <x:v>ROPA / processing governance gap</x:v>
      </x:c>
      <x:c r="I18" s="55" t="str">
        <x:v>Add Data Principal segment and personal data categories to ROPA.</x:v>
      </x:c>
      <x:c r="J18" s="55" t="str">
        <x:v>DPDP Owner + Process Owners</x:v>
      </x:c>
      <x:c r="K18" s="55" t="str">
        <x:v>Privacy Operations Consultant</x:v>
      </x:c>
      <x:c r="L18" s="55" t="str">
        <x:v>ROPA / Processing Activity Register</x:v>
      </x:c>
      <x:c r="M18" s="55" t="n">
        <x:v>30</x:v>
      </x:c>
      <x:c r="N18" s="55" t="str">
        <x:v>Open</x:v>
      </x:c>
      <x:c r="O18" s="55" t="str">
        <x:v>Data Principal/data category mapping</x:v>
      </x:c>
      <x:c r="P18" s="55" t="str">
        <x:v>Score can improve after evidence-supported implementation and monitoring.</x:v>
      </x:c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5" t="str">
        <x:v>ACT-ROPA1.4</x:v>
      </x:c>
      <x:c r="B19" s="55" t="str">
        <x:v>ROPA1.4</x:v>
      </x:c>
      <x:c r="C19" s="55" t="str">
        <x:v>ROPA / Records of Processing Activities</x:v>
      </x:c>
      <x:c r="D19" s="55" t="str">
        <x:f>IF(Responses!$J19="","N/A",IF(Responses!$J19&lt;=3,"Yes","No"))</x:f>
        <x:v>Yes</x:v>
      </x:c>
      <x:c r="E19" s="55" t="str">
        <x:v>Review and remediate: Does each record document purpose and DPDP basis / lawful processing basis?</x:v>
      </x:c>
      <x:c r="F19" s="55" t="str">
        <x:f>Responses!$K19</x:f>
        <x:v>High</x:v>
      </x:c>
      <x:c r="G19" s="55" t="str">
        <x:f>Responses!$L19</x:f>
        <x:v>P1</x:v>
      </x:c>
      <x:c r="H19" s="55" t="str">
        <x:v>ROPA / processing governance gap</x:v>
      </x:c>
      <x:c r="I19" s="55" t="str">
        <x:v>Map every processing activity to purpose and legal/DPDP basis for legal review.</x:v>
      </x:c>
      <x:c r="J19" s="55" t="str">
        <x:v>DPDP Owner + Process Owners</x:v>
      </x:c>
      <x:c r="K19" s="55" t="str">
        <x:v>Privacy Operations Consultant</x:v>
      </x:c>
      <x:c r="L19" s="55" t="str">
        <x:v>ROPA / Processing Activity Register</x:v>
      </x:c>
      <x:c r="M19" s="55" t="n">
        <x:v>30</x:v>
      </x:c>
      <x:c r="N19" s="55" t="str">
        <x:v>Open</x:v>
      </x:c>
      <x:c r="O19" s="55" t="str">
        <x:v>Purpose and basis mapping</x:v>
      </x:c>
      <x:c r="P19" s="55" t="str">
        <x:v>Score can improve after evidence-supported implementation and monitoring.</x:v>
      </x:c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5" t="str">
        <x:v>ACT-ROPA1.5</x:v>
      </x:c>
      <x:c r="B20" s="55" t="str">
        <x:v>ROPA1.5</x:v>
      </x:c>
      <x:c r="C20" s="55" t="str">
        <x:v>ROPA / Records of Processing Activities</x:v>
      </x:c>
      <x:c r="D20" s="55" t="str">
        <x:f>IF(Responses!$J20="","N/A",IF(Responses!$J20&lt;=3,"Yes","No"))</x:f>
        <x:v>Yes</x:v>
      </x:c>
      <x:c r="E20" s="55" t="str">
        <x:v>Review and remediate: Does each record identify systems, vendors, processors and sharing points?</x:v>
      </x:c>
      <x:c r="F20" s="55" t="str">
        <x:f>Responses!$K20</x:f>
        <x:v>High</x:v>
      </x:c>
      <x:c r="G20" s="55" t="str">
        <x:f>Responses!$L20</x:f>
        <x:v>P1</x:v>
      </x:c>
      <x:c r="H20" s="55" t="str">
        <x:v>ROPA / processing governance gap</x:v>
      </x:c>
      <x:c r="I20" s="55" t="str">
        <x:v>Add systems, processors and sharing destinations to ROPA.</x:v>
      </x:c>
      <x:c r="J20" s="55" t="str">
        <x:v>DPDP Owner + Process Owners</x:v>
      </x:c>
      <x:c r="K20" s="55" t="str">
        <x:v>Privacy Operations Consultant</x:v>
      </x:c>
      <x:c r="L20" s="55" t="str">
        <x:v>ROPA / Processing Activity Register</x:v>
      </x:c>
      <x:c r="M20" s="55" t="n">
        <x:v>30</x:v>
      </x:c>
      <x:c r="N20" s="55" t="str">
        <x:v>Open</x:v>
      </x:c>
      <x:c r="O20" s="55" t="str">
        <x:v>System/vendor/data-flow mapping</x:v>
      </x:c>
      <x:c r="P20" s="55" t="str">
        <x:v>Score can improve after evidence-supported implementation and monitoring.</x:v>
      </x:c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5" t="str">
        <x:v>ACT-ROPA1.6</x:v>
      </x:c>
      <x:c r="B21" s="55" t="str">
        <x:v>ROPA1.6</x:v>
      </x:c>
      <x:c r="C21" s="55" t="str">
        <x:v>ROPA / Records of Processing Activities</x:v>
      </x:c>
      <x:c r="D21" s="55" t="str">
        <x:f>IF(Responses!$J21="","N/A",IF(Responses!$J21&lt;=3,"Yes","No"))</x:f>
        <x:v>Yes</x:v>
      </x:c>
      <x:c r="E21" s="55" t="str">
        <x:v>Review and remediate: Does each record include retention, safeguards, notice, consent, rights and grievance linkage?</x:v>
      </x:c>
      <x:c r="F21" s="55" t="str">
        <x:f>Responses!$K21</x:f>
        <x:v>High</x:v>
      </x:c>
      <x:c r="G21" s="55" t="str">
        <x:f>Responses!$L21</x:f>
        <x:v>P1</x:v>
      </x:c>
      <x:c r="H21" s="55" t="str">
        <x:v>ROPA / processing governance gap</x:v>
      </x:c>
      <x:c r="I21" s="55" t="str">
        <x:v>Link ROPA to retention, safeguards, notice, consent and rights/grievance workflows.</x:v>
      </x:c>
      <x:c r="J21" s="55" t="str">
        <x:v>DPDP Owner + Process Owners</x:v>
      </x:c>
      <x:c r="K21" s="55" t="str">
        <x:v>Privacy Operations Consultant</x:v>
      </x:c>
      <x:c r="L21" s="55" t="str">
        <x:v>ROPA / Processing Activity Register</x:v>
      </x:c>
      <x:c r="M21" s="55" t="n">
        <x:v>30</x:v>
      </x:c>
      <x:c r="N21" s="55" t="str">
        <x:v>Open</x:v>
      </x:c>
      <x:c r="O21" s="55" t="str">
        <x:v>Completed ROPA template</x:v>
      </x:c>
      <x:c r="P21" s="55" t="str">
        <x:v>Score can improve after evidence-supported implementation and monitoring.</x:v>
      </x:c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5" t="str">
        <x:v>ACT-ROPA1.7</x:v>
      </x:c>
      <x:c r="B22" s="55" t="str">
        <x:v>ROPA1.7</x:v>
      </x:c>
      <x:c r="C22" s="55" t="str">
        <x:v>ROPA / Records of Processing Activities</x:v>
      </x:c>
      <x:c r="D22" s="55" t="str">
        <x:f>IF(Responses!$J22="","N/A",IF(Responses!$J22&lt;=3,"Yes","No"))</x:f>
        <x:v>Yes</x:v>
      </x:c>
      <x:c r="E22" s="55" t="str">
        <x:v>Review and remediate: Is ROPA updated when a new form, system, vendor, AI tool or data-sharing process is introduced?</x:v>
      </x:c>
      <x:c r="F22" s="55" t="str">
        <x:f>Responses!$K22</x:f>
        <x:v>High</x:v>
      </x:c>
      <x:c r="G22" s="55" t="str">
        <x:f>Responses!$L22</x:f>
        <x:v>P1</x:v>
      </x:c>
      <x:c r="H22" s="55" t="str">
        <x:v>ROPA / processing governance gap</x:v>
      </x:c>
      <x:c r="I22" s="55" t="str">
        <x:v>Make ROPA update mandatory in change approvals.</x:v>
      </x:c>
      <x:c r="J22" s="55" t="str">
        <x:v>DPDP Owner + Process Owners</x:v>
      </x:c>
      <x:c r="K22" s="55" t="str">
        <x:v>Privacy Operations Consultant</x:v>
      </x:c>
      <x:c r="L22" s="55" t="str">
        <x:v>ROPA / Processing Activity Register</x:v>
      </x:c>
      <x:c r="M22" s="55" t="n">
        <x:v>30</x:v>
      </x:c>
      <x:c r="N22" s="55" t="str">
        <x:v>Open</x:v>
      </x:c>
      <x:c r="O22" s="55" t="str">
        <x:v>Change-management SOP</x:v>
      </x:c>
      <x:c r="P22" s="55" t="str">
        <x:v>Score can improve after evidence-supported implementation and monitoring.</x:v>
      </x:c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5" t="str">
        <x:v>ACT-ROPA1.8</x:v>
      </x:c>
      <x:c r="B23" s="55" t="str">
        <x:v>ROPA1.8</x:v>
      </x:c>
      <x:c r="C23" s="55" t="str">
        <x:v>ROPA / Records of Processing Activities</x:v>
      </x:c>
      <x:c r="D23" s="55" t="str">
        <x:f>IF(Responses!$J23="","N/A",IF(Responses!$J23&lt;=3,"Yes","No"))</x:f>
        <x:v>Yes</x:v>
      </x:c>
      <x:c r="E23" s="55" t="str">
        <x:v>Review and remediate: Is ROPA reviewed periodically by DPDP owner or governance committee?</x:v>
      </x:c>
      <x:c r="F23" s="55" t="str">
        <x:f>Responses!$K23</x:f>
        <x:v>High</x:v>
      </x:c>
      <x:c r="G23" s="55" t="str">
        <x:f>Responses!$L23</x:f>
        <x:v>P1</x:v>
      </x:c>
      <x:c r="H23" s="55" t="str">
        <x:v>ROPA / processing governance gap</x:v>
      </x:c>
      <x:c r="I23" s="55" t="str">
        <x:v>Add ROPA review to DPDP governance cadence.</x:v>
      </x:c>
      <x:c r="J23" s="55" t="str">
        <x:v>DPDP Owner + Process Owners</x:v>
      </x:c>
      <x:c r="K23" s="55" t="str">
        <x:v>Privacy Operations Consultant</x:v>
      </x:c>
      <x:c r="L23" s="55" t="str">
        <x:v>ROPA / Processing Activity Register</x:v>
      </x:c>
      <x:c r="M23" s="55" t="n">
        <x:v>30</x:v>
      </x:c>
      <x:c r="N23" s="55" t="str">
        <x:v>Open</x:v>
      </x:c>
      <x:c r="O23" s="55" t="str">
        <x:v>Review minutes / dashboard</x:v>
      </x:c>
      <x:c r="P23" s="55" t="str">
        <x:v>Score can improve after evidence-supported implementation and monitoring.</x:v>
      </x:c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5" t="str">
        <x:v>ACT-P1.1</x:v>
      </x:c>
      <x:c r="B24" s="55" t="str">
        <x:v>P1.1</x:v>
      </x:c>
      <x:c r="C24" s="55" t="str">
        <x:v>Purpose, lawful basis and data minimisation</x:v>
      </x:c>
      <x:c r="D24" s="55" t="str">
        <x:f>IF(Responses!$J24="","N/A",IF(Responses!$J24&lt;=3,"Yes","No"))</x:f>
        <x:v>Yes</x:v>
      </x:c>
      <x:c r="E24" s="55" t="str">
        <x:v>Review and remediate: Is a specific purpose documented for every category of personal data collected?</x:v>
      </x:c>
      <x:c r="F24" s="55" t="str">
        <x:f>Responses!$K24</x:f>
        <x:v>Medium</x:v>
      </x:c>
      <x:c r="G24" s="55" t="str">
        <x:f>Responses!$L24</x:f>
        <x:v>P2</x:v>
      </x:c>
      <x:c r="H24" s="55" t="str">
        <x:v>Legal/process gap</x:v>
      </x:c>
      <x:c r="I24" s="55" t="str">
        <x:v>Create data-purpose mapping for every form/process.</x:v>
      </x:c>
      <x:c r="J24" s="55" t="str">
        <x:v>Legal + Process Owners</x:v>
      </x:c>
      <x:c r="K24" s="55" t="str">
        <x:v>DPDP Advisory Lead</x:v>
      </x:c>
      <x:c r="L24" s="55" t="str">
        <x:v>Purpose &amp; Lawful Basis Register</x:v>
      </x:c>
      <x:c r="M24" s="55" t="n">
        <x:v>60</x:v>
      </x:c>
      <x:c r="N24" s="55" t="str">
        <x:v>Open</x:v>
      </x:c>
      <x:c r="O24" s="55" t="str">
        <x:v>Purpose mapping register</x:v>
      </x:c>
      <x:c r="P24" s="55" t="str">
        <x:v>Score can improve after evidence-supported implementation and monitoring.</x:v>
      </x:c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5" t="str">
        <x:v>ACT-P1.2</x:v>
      </x:c>
      <x:c r="B25" s="55" t="str">
        <x:v>P1.2</x:v>
      </x:c>
      <x:c r="C25" s="55" t="str">
        <x:v>Purpose, lawful basis and data minimisation</x:v>
      </x:c>
      <x:c r="D25" s="55" t="str">
        <x:f>IF(Responses!$J25="","N/A",IF(Responses!$J25&lt;=3,"Yes","No"))</x:f>
        <x:v>Yes</x:v>
      </x:c>
      <x:c r="E25" s="55" t="str">
        <x:v>Review and remediate: Has each processing activity been mapped to consent or another legally reviewed DPDP basis?</x:v>
      </x:c>
      <x:c r="F25" s="55" t="str">
        <x:f>Responses!$K25</x:f>
        <x:v>Medium</x:v>
      </x:c>
      <x:c r="G25" s="55" t="str">
        <x:f>Responses!$L25</x:f>
        <x:v>P2</x:v>
      </x:c>
      <x:c r="H25" s="55" t="str">
        <x:v>Legal/process gap</x:v>
      </x:c>
      <x:c r="I25" s="55" t="str">
        <x:v>Classify processing basis with legal review.</x:v>
      </x:c>
      <x:c r="J25" s="55" t="str">
        <x:v>Legal + Process Owners</x:v>
      </x:c>
      <x:c r="K25" s="55" t="str">
        <x:v>DPDP Advisory Lead</x:v>
      </x:c>
      <x:c r="L25" s="55" t="str">
        <x:v>Purpose &amp; Lawful Basis Register</x:v>
      </x:c>
      <x:c r="M25" s="55" t="n">
        <x:v>60</x:v>
      </x:c>
      <x:c r="N25" s="55" t="str">
        <x:v>Open</x:v>
      </x:c>
      <x:c r="O25" s="55" t="str">
        <x:v>Lawful/DPDP basis register</x:v>
      </x:c>
      <x:c r="P25" s="55" t="str">
        <x:v>Score can improve after evidence-supported implementation and monitoring.</x:v>
      </x:c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5" t="str">
        <x:v>ACT-P1.3</x:v>
      </x:c>
      <x:c r="B26" s="55" t="str">
        <x:v>P1.3</x:v>
      </x:c>
      <x:c r="C26" s="55" t="str">
        <x:v>Purpose, lawful basis and data minimisation</x:v>
      </x:c>
      <x:c r="D26" s="55" t="str">
        <x:f>IF(Responses!$J26="","N/A",IF(Responses!$J26&lt;=3,"Yes","No"))</x:f>
        <x:v>Yes</x:v>
      </x:c>
      <x:c r="E26" s="55" t="str">
        <x:v>Review and remediate: Are unnecessary fields removed from forms and systems?</x:v>
      </x:c>
      <x:c r="F26" s="55" t="str">
        <x:f>Responses!$K26</x:f>
        <x:v>Medium</x:v>
      </x:c>
      <x:c r="G26" s="55" t="str">
        <x:f>Responses!$L26</x:f>
        <x:v>P2</x:v>
      </x:c>
      <x:c r="H26" s="55" t="str">
        <x:v>Legal/process gap</x:v>
      </x:c>
      <x:c r="I26" s="55" t="str">
        <x:v>Remove non-essential fields and record rationale.</x:v>
      </x:c>
      <x:c r="J26" s="55" t="str">
        <x:v>Legal + Process Owners</x:v>
      </x:c>
      <x:c r="K26" s="55" t="str">
        <x:v>DPDP Advisory Lead</x:v>
      </x:c>
      <x:c r="L26" s="55" t="str">
        <x:v>Purpose &amp; Lawful Basis Register</x:v>
      </x:c>
      <x:c r="M26" s="55" t="n">
        <x:v>60</x:v>
      </x:c>
      <x:c r="N26" s="55" t="str">
        <x:v>Open</x:v>
      </x:c>
      <x:c r="O26" s="55" t="str">
        <x:v>Form review report</x:v>
      </x:c>
      <x:c r="P26" s="55" t="str">
        <x:v>Score can improve after evidence-supported implementation and monitoring.</x:v>
      </x:c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5" t="str">
        <x:v>ACT-P1.4</x:v>
      </x:c>
      <x:c r="B27" s="55" t="str">
        <x:v>P1.4</x:v>
      </x:c>
      <x:c r="C27" s="55" t="str">
        <x:v>Purpose, lawful basis and data minimisation</x:v>
      </x:c>
      <x:c r="D27" s="55" t="str">
        <x:f>IF(Responses!$J27="","N/A",IF(Responses!$J27&lt;=3,"Yes","No"))</x:f>
        <x:v>Yes</x:v>
      </x:c>
      <x:c r="E27" s="55" t="str">
        <x:v>Review and remediate: Are mandatory and optional fields clearly separated?</x:v>
      </x:c>
      <x:c r="F27" s="55" t="str">
        <x:f>Responses!$K27</x:f>
        <x:v>Medium</x:v>
      </x:c>
      <x:c r="G27" s="55" t="str">
        <x:f>Responses!$L27</x:f>
        <x:v>P2</x:v>
      </x:c>
      <x:c r="H27" s="55" t="str">
        <x:v>Legal/process gap</x:v>
      </x:c>
      <x:c r="I27" s="55" t="str">
        <x:v>Mark mandatory and optional fields in every collection form.</x:v>
      </x:c>
      <x:c r="J27" s="55" t="str">
        <x:v>Legal + Process Owners</x:v>
      </x:c>
      <x:c r="K27" s="55" t="str">
        <x:v>DPDP Advisory Lead</x:v>
      </x:c>
      <x:c r="L27" s="55" t="str">
        <x:v>Purpose &amp; Lawful Basis Register</x:v>
      </x:c>
      <x:c r="M27" s="55" t="n">
        <x:v>60</x:v>
      </x:c>
      <x:c r="N27" s="55" t="str">
        <x:v>Open</x:v>
      </x:c>
      <x:c r="O27" s="55" t="str">
        <x:v>Form screenshots / field list</x:v>
      </x:c>
      <x:c r="P27" s="55" t="str">
        <x:v>Score can improve after evidence-supported implementation and monitoring.</x:v>
      </x:c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5" t="str">
        <x:v>ACT-P1.5</x:v>
      </x:c>
      <x:c r="B28" s="55" t="str">
        <x:v>P1.5</x:v>
      </x:c>
      <x:c r="C28" s="55" t="str">
        <x:v>Purpose, lawful basis and data minimisation</x:v>
      </x:c>
      <x:c r="D28" s="55" t="str">
        <x:f>IF(Responses!$J28="","N/A",IF(Responses!$J28&lt;=3,"Yes","No"))</x:f>
        <x:v>Yes</x:v>
      </x:c>
      <x:c r="E28" s="55" t="str">
        <x:v>Review and remediate: Is data used only for the purpose communicated to the Data Principal?</x:v>
      </x:c>
      <x:c r="F28" s="55" t="str">
        <x:f>Responses!$K28</x:f>
        <x:v>Medium</x:v>
      </x:c>
      <x:c r="G28" s="55" t="str">
        <x:f>Responses!$L28</x:f>
        <x:v>P2</x:v>
      </x:c>
      <x:c r="H28" s="55" t="str">
        <x:v>Legal/process gap</x:v>
      </x:c>
      <x:c r="I28" s="55" t="str">
        <x:v>Create control to prevent purpose drift.</x:v>
      </x:c>
      <x:c r="J28" s="55" t="str">
        <x:v>Legal + Process Owners</x:v>
      </x:c>
      <x:c r="K28" s="55" t="str">
        <x:v>DPDP Advisory Lead</x:v>
      </x:c>
      <x:c r="L28" s="55" t="str">
        <x:v>Purpose &amp; Lawful Basis Register</x:v>
      </x:c>
      <x:c r="M28" s="55" t="n">
        <x:v>60</x:v>
      </x:c>
      <x:c r="N28" s="55" t="str">
        <x:v>Open</x:v>
      </x:c>
      <x:c r="O28" s="55" t="str">
        <x:v>Notice-purpose mapping</x:v>
      </x:c>
      <x:c r="P28" s="55" t="str">
        <x:v>Score can improve after evidence-supported implementation and monitoring.</x:v>
      </x:c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5" t="str">
        <x:v>ACT-P1.6</x:v>
      </x:c>
      <x:c r="B29" s="55" t="str">
        <x:v>P1.6</x:v>
      </x:c>
      <x:c r="C29" s="55" t="str">
        <x:v>Purpose, lawful basis and data minimisation</x:v>
      </x:c>
      <x:c r="D29" s="55" t="str">
        <x:f>IF(Responses!$J29="","N/A",IF(Responses!$J29&lt;=3,"Yes","No"))</x:f>
        <x:v>Yes</x:v>
      </x:c>
      <x:c r="E29" s="55" t="str">
        <x:v>Review and remediate: Is there a review process before adding new data fields to any form, app, ERP, CRM or SaaS workflow?</x:v>
      </x:c>
      <x:c r="F29" s="55" t="str">
        <x:f>Responses!$K29</x:f>
        <x:v>Medium</x:v>
      </x:c>
      <x:c r="G29" s="55" t="str">
        <x:f>Responses!$L29</x:f>
        <x:v>P2</x:v>
      </x:c>
      <x:c r="H29" s="55" t="str">
        <x:v>Legal/process gap</x:v>
      </x:c>
      <x:c r="I29" s="55" t="str">
        <x:v>Add privacy review before new data-field deployment.</x:v>
      </x:c>
      <x:c r="J29" s="55" t="str">
        <x:v>Legal + Process Owners</x:v>
      </x:c>
      <x:c r="K29" s="55" t="str">
        <x:v>DPDP Advisory Lead</x:v>
      </x:c>
      <x:c r="L29" s="55" t="str">
        <x:v>Purpose &amp; Lawful Basis Register</x:v>
      </x:c>
      <x:c r="M29" s="55" t="n">
        <x:v>60</x:v>
      </x:c>
      <x:c r="N29" s="55" t="str">
        <x:v>Open</x:v>
      </x:c>
      <x:c r="O29" s="55" t="str">
        <x:v>Change approval workflow</x:v>
      </x:c>
      <x:c r="P29" s="55" t="str">
        <x:v>Score can improve after evidence-supported implementation and monitoring.</x:v>
      </x:c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5" t="str">
        <x:v>ACT-N1.1</x:v>
      </x:c>
      <x:c r="B30" s="55" t="str">
        <x:v>N1.1</x:v>
      </x:c>
      <x:c r="C30" s="55" t="str">
        <x:v>Notice management</x:v>
      </x:c>
      <x:c r="D30" s="55" t="str">
        <x:f>IF(Responses!$J30="","N/A",IF(Responses!$J30&lt;=3,"Yes","No"))</x:f>
        <x:v>Yes</x:v>
      </x:c>
      <x:c r="E30" s="55" t="str">
        <x:v>Review and remediate: Are notices provided before or at the time of collecting personal data?</x:v>
      </x:c>
      <x:c r="F30" s="55" t="str">
        <x:f>Responses!$K30</x:f>
        <x:v>Medium</x:v>
      </x:c>
      <x:c r="G30" s="55" t="str">
        <x:f>Responses!$L30</x:f>
        <x:v>P2</x:v>
      </x:c>
      <x:c r="H30" s="55" t="str">
        <x:v>Notice gap</x:v>
      </x:c>
      <x:c r="I30" s="55" t="str">
        <x:v>Publish notice at every major collection point.</x:v>
      </x:c>
      <x:c r="J30" s="55" t="str">
        <x:v>Legal + IT</x:v>
      </x:c>
      <x:c r="K30" s="55" t="str">
        <x:v>DPDP Advisory Lead</x:v>
      </x:c>
      <x:c r="L30" s="55" t="str">
        <x:v>Privacy Notice Register</x:v>
      </x:c>
      <x:c r="M30" s="55" t="n">
        <x:v>30</x:v>
      </x:c>
      <x:c r="N30" s="55" t="str">
        <x:v>Open</x:v>
      </x:c>
      <x:c r="O30" s="55" t="str">
        <x:v>Form screenshots / notice links</x:v>
      </x:c>
      <x:c r="P30" s="55" t="str">
        <x:v>Score can improve after evidence-supported implementation and monitoring.</x:v>
      </x:c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5" t="str">
        <x:v>ACT-N1.2</x:v>
      </x:c>
      <x:c r="B31" s="55" t="str">
        <x:v>N1.2</x:v>
      </x:c>
      <x:c r="C31" s="55" t="str">
        <x:v>Notice management</x:v>
      </x:c>
      <x:c r="D31" s="55" t="str">
        <x:f>IF(Responses!$J31="","N/A",IF(Responses!$J31&lt;=3,"Yes","No"))</x:f>
        <x:v>Yes</x:v>
      </x:c>
      <x:c r="E31" s="55" t="str">
        <x:v>Review and remediate: Does each notice clearly list what personal data is collected?</x:v>
      </x:c>
      <x:c r="F31" s="55" t="str">
        <x:f>Responses!$K31</x:f>
        <x:v>Medium</x:v>
      </x:c>
      <x:c r="G31" s="55" t="str">
        <x:f>Responses!$L31</x:f>
        <x:v>P2</x:v>
      </x:c>
      <x:c r="H31" s="55" t="str">
        <x:v>Notice gap</x:v>
      </x:c>
      <x:c r="I31" s="55" t="str">
        <x:v>Add itemised personal data categories to notices.</x:v>
      </x:c>
      <x:c r="J31" s="55" t="str">
        <x:v>Legal + IT</x:v>
      </x:c>
      <x:c r="K31" s="55" t="str">
        <x:v>DPDP Advisory Lead</x:v>
      </x:c>
      <x:c r="L31" s="55" t="str">
        <x:v>Privacy Notice Register</x:v>
      </x:c>
      <x:c r="M31" s="55" t="n">
        <x:v>30</x:v>
      </x:c>
      <x:c r="N31" s="55" t="str">
        <x:v>Open</x:v>
      </x:c>
      <x:c r="O31" s="55" t="str">
        <x:v>Notice text / data-purpose table</x:v>
      </x:c>
      <x:c r="P31" s="55" t="str">
        <x:v>Score can improve after evidence-supported implementation and monitoring.</x:v>
      </x:c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5" t="str">
        <x:v>ACT-N1.3</x:v>
      </x:c>
      <x:c r="B32" s="55" t="str">
        <x:v>N1.3</x:v>
      </x:c>
      <x:c r="C32" s="55" t="str">
        <x:v>Notice management</x:v>
      </x:c>
      <x:c r="D32" s="55" t="str">
        <x:f>IF(Responses!$J32="","N/A",IF(Responses!$J32&lt;=3,"Yes","No"))</x:f>
        <x:v>Yes</x:v>
      </x:c>
      <x:c r="E32" s="55" t="str">
        <x:v>Review and remediate: Does each notice clearly state the specific purpose of processing?</x:v>
      </x:c>
      <x:c r="F32" s="55" t="str">
        <x:f>Responses!$K32</x:f>
        <x:v>Medium</x:v>
      </x:c>
      <x:c r="G32" s="55" t="str">
        <x:f>Responses!$L32</x:f>
        <x:v>P2</x:v>
      </x:c>
      <x:c r="H32" s="55" t="str">
        <x:v>Notice gap</x:v>
      </x:c>
      <x:c r="I32" s="55" t="str">
        <x:v>Add purpose language to process-specific notices.</x:v>
      </x:c>
      <x:c r="J32" s="55" t="str">
        <x:v>Legal + IT</x:v>
      </x:c>
      <x:c r="K32" s="55" t="str">
        <x:v>DPDP Advisory Lead</x:v>
      </x:c>
      <x:c r="L32" s="55" t="str">
        <x:v>Privacy Notice Register</x:v>
      </x:c>
      <x:c r="M32" s="55" t="n">
        <x:v>30</x:v>
      </x:c>
      <x:c r="N32" s="55" t="str">
        <x:v>Open</x:v>
      </x:c>
      <x:c r="O32" s="55" t="str">
        <x:v>Notice-purpose mapping</x:v>
      </x:c>
      <x:c r="P32" s="55" t="str">
        <x:v>Score can improve after evidence-supported implementation and monitoring.</x:v>
      </x:c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5" t="str">
        <x:v>ACT-N1.4</x:v>
      </x:c>
      <x:c r="B33" s="55" t="str">
        <x:v>N1.4</x:v>
      </x:c>
      <x:c r="C33" s="55" t="str">
        <x:v>Notice management</x:v>
      </x:c>
      <x:c r="D33" s="55" t="str">
        <x:f>IF(Responses!$J33="","N/A",IF(Responses!$J33&lt;=3,"Yes","No"))</x:f>
        <x:v>Yes</x:v>
      </x:c>
      <x:c r="E33" s="55" t="str">
        <x:v>Review and remediate: Does the notice explain rights, consent withdrawal where applicable, and complaint mechanisms?</x:v>
      </x:c>
      <x:c r="F33" s="55" t="str">
        <x:f>Responses!$K33</x:f>
        <x:v>Medium</x:v>
      </x:c>
      <x:c r="G33" s="55" t="str">
        <x:f>Responses!$L33</x:f>
        <x:v>P2</x:v>
      </x:c>
      <x:c r="H33" s="55" t="str">
        <x:v>Notice gap</x:v>
      </x:c>
      <x:c r="I33" s="55" t="str">
        <x:v>Add rights, withdrawal and complaint links to notices.</x:v>
      </x:c>
      <x:c r="J33" s="55" t="str">
        <x:v>Legal + IT</x:v>
      </x:c>
      <x:c r="K33" s="55" t="str">
        <x:v>DPDP Advisory Lead</x:v>
      </x:c>
      <x:c r="L33" s="55" t="str">
        <x:v>Privacy Notice Register</x:v>
      </x:c>
      <x:c r="M33" s="55" t="n">
        <x:v>30</x:v>
      </x:c>
      <x:c r="N33" s="55" t="str">
        <x:v>Open</x:v>
      </x:c>
      <x:c r="O33" s="55" t="str">
        <x:v>Notice text / links</x:v>
      </x:c>
      <x:c r="P33" s="55" t="str">
        <x:v>Score can improve after evidence-supported implementation and monitoring.</x:v>
      </x:c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5" t="str">
        <x:v>ACT-N1.5</x:v>
      </x:c>
      <x:c r="B34" s="55" t="str">
        <x:v>N1.5</x:v>
      </x:c>
      <x:c r="C34" s="55" t="str">
        <x:v>Notice management</x:v>
      </x:c>
      <x:c r="D34" s="55" t="str">
        <x:f>IF(Responses!$J34="","N/A",IF(Responses!$J34&lt;=3,"Yes","No"))</x:f>
        <x:v>Yes</x:v>
      </x:c>
      <x:c r="E34" s="55" t="str">
        <x:v>Review and remediate: Is notice available in English and relevant Indian languages where needed for the audience?</x:v>
      </x:c>
      <x:c r="F34" s="55" t="str">
        <x:f>Responses!$K34</x:f>
        <x:v>Medium</x:v>
      </x:c>
      <x:c r="G34" s="55" t="str">
        <x:f>Responses!$L34</x:f>
        <x:v>P2</x:v>
      </x:c>
      <x:c r="H34" s="55" t="str">
        <x:v>Notice gap</x:v>
      </x:c>
      <x:c r="I34" s="55" t="str">
        <x:v>Prepare required language versions based on user segment.</x:v>
      </x:c>
      <x:c r="J34" s="55" t="str">
        <x:v>Legal + IT</x:v>
      </x:c>
      <x:c r="K34" s="55" t="str">
        <x:v>DPDP Advisory Lead</x:v>
      </x:c>
      <x:c r="L34" s="55" t="str">
        <x:v>Privacy Notice Register</x:v>
      </x:c>
      <x:c r="M34" s="55" t="n">
        <x:v>30</x:v>
      </x:c>
      <x:c r="N34" s="55" t="str">
        <x:v>Open</x:v>
      </x:c>
      <x:c r="O34" s="55" t="str">
        <x:v>Language versions</x:v>
      </x:c>
      <x:c r="P34" s="55" t="str">
        <x:v>Score can improve after evidence-supported implementation and monitoring.</x:v>
      </x:c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5" t="str">
        <x:v>ACT-N1.6</x:v>
      </x:c>
      <x:c r="B35" s="55" t="str">
        <x:v>N1.6</x:v>
      </x:c>
      <x:c r="C35" s="55" t="str">
        <x:v>Notice management</x:v>
      </x:c>
      <x:c r="D35" s="55" t="str">
        <x:f>IF(Responses!$J35="","N/A",IF(Responses!$J35&lt;=3,"Yes","No"))</x:f>
        <x:v>Yes</x:v>
      </x:c>
      <x:c r="E35" s="55" t="str">
        <x:v>Review and remediate: Is there version control to prove which notice was active on a given date?</x:v>
      </x:c>
      <x:c r="F35" s="55" t="str">
        <x:f>Responses!$K35</x:f>
        <x:v>Medium</x:v>
      </x:c>
      <x:c r="G35" s="55" t="str">
        <x:f>Responses!$L35</x:f>
        <x:v>P2</x:v>
      </x:c>
      <x:c r="H35" s="55" t="str">
        <x:v>Notice gap</x:v>
      </x:c>
      <x:c r="I35" s="55" t="str">
        <x:v>Maintain notice version history and publication evidence.</x:v>
      </x:c>
      <x:c r="J35" s="55" t="str">
        <x:v>Legal + IT</x:v>
      </x:c>
      <x:c r="K35" s="55" t="str">
        <x:v>DPDP Advisory Lead</x:v>
      </x:c>
      <x:c r="L35" s="55" t="str">
        <x:v>Privacy Notice Register</x:v>
      </x:c>
      <x:c r="M35" s="55" t="n">
        <x:v>30</x:v>
      </x:c>
      <x:c r="N35" s="55" t="str">
        <x:v>Open</x:v>
      </x:c>
      <x:c r="O35" s="55" t="str">
        <x:v>Notice version register</x:v>
      </x:c>
      <x:c r="P35" s="55" t="str">
        <x:v>Score can improve after evidence-supported implementation and monitoring.</x:v>
      </x:c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5" t="str">
        <x:v>ACT-C1.1</x:v>
      </x:c>
      <x:c r="B36" s="55" t="str">
        <x:v>C1.1</x:v>
      </x:c>
      <x:c r="C36" s="55" t="str">
        <x:v>Consent and consent withdrawal</x:v>
      </x:c>
      <x:c r="D36" s="55" t="str">
        <x:f>IF(Responses!$J36="","N/A",IF(Responses!$J36&lt;=3,"Yes","No"))</x:f>
        <x:v>Yes</x:v>
      </x:c>
      <x:c r="E36" s="55" t="str">
        <x:v>Review and remediate: Is consent captured through clear affirmative action where consent is the basis of processing?</x:v>
      </x:c>
      <x:c r="F36" s="55" t="str">
        <x:f>Responses!$K36</x:f>
        <x:v>High</x:v>
      </x:c>
      <x:c r="G36" s="55" t="str">
        <x:f>Responses!$L36</x:f>
        <x:v>P1</x:v>
      </x:c>
      <x:c r="H36" s="55" t="str">
        <x:v>Consent lifecycle gap</x:v>
      </x:c>
      <x:c r="I36" s="55" t="str">
        <x:v>Use clear affirmative consent capture.</x:v>
      </x:c>
      <x:c r="J36" s="55" t="str">
        <x:v>Legal + IT + Process Owners</x:v>
      </x:c>
      <x:c r="K36" s="55" t="str">
        <x:v>Privacy Operations Consultant</x:v>
      </x:c>
      <x:c r="L36" s="55" t="str">
        <x:v>Consent Register</x:v>
      </x:c>
      <x:c r="M36" s="55" t="n">
        <x:v>60</x:v>
      </x:c>
      <x:c r="N36" s="55" t="str">
        <x:v>Open</x:v>
      </x:c>
      <x:c r="O36" s="55" t="str">
        <x:v>Consent UI / logs</x:v>
      </x:c>
      <x:c r="P36" s="55" t="str">
        <x:v>Score can improve after evidence-supported implementation and monitoring.</x:v>
      </x:c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5" t="str">
        <x:v>ACT-C1.2</x:v>
      </x:c>
      <x:c r="B37" s="55" t="str">
        <x:v>C1.2</x:v>
      </x:c>
      <x:c r="C37" s="55" t="str">
        <x:v>Consent and consent withdrawal</x:v>
      </x:c>
      <x:c r="D37" s="55" t="str">
        <x:f>IF(Responses!$J37="","N/A",IF(Responses!$J37&lt;=3,"Yes","No"))</x:f>
        <x:v>Yes</x:v>
      </x:c>
      <x:c r="E37" s="55" t="str">
        <x:v>Review and remediate: Are consent requests separated by purpose instead of bundled into one broad checkbox?</x:v>
      </x:c>
      <x:c r="F37" s="55" t="str">
        <x:f>Responses!$K37</x:f>
        <x:v>High</x:v>
      </x:c>
      <x:c r="G37" s="55" t="str">
        <x:f>Responses!$L37</x:f>
        <x:v>P1</x:v>
      </x:c>
      <x:c r="H37" s="55" t="str">
        <x:v>Consent lifecycle gap</x:v>
      </x:c>
      <x:c r="I37" s="55" t="str">
        <x:v>Split consent by purpose.</x:v>
      </x:c>
      <x:c r="J37" s="55" t="str">
        <x:v>Legal + IT + Process Owners</x:v>
      </x:c>
      <x:c r="K37" s="55" t="str">
        <x:v>Privacy Operations Consultant</x:v>
      </x:c>
      <x:c r="L37" s="55" t="str">
        <x:v>Consent Register</x:v>
      </x:c>
      <x:c r="M37" s="55" t="n">
        <x:v>60</x:v>
      </x:c>
      <x:c r="N37" s="55" t="str">
        <x:v>Open</x:v>
      </x:c>
      <x:c r="O37" s="55" t="str">
        <x:v>Consent design screenshots</x:v>
      </x:c>
      <x:c r="P37" s="55" t="str">
        <x:v>Score can improve after evidence-supported implementation and monitoring.</x:v>
      </x:c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5" t="str">
        <x:v>ACT-C1.3</x:v>
      </x:c>
      <x:c r="B38" s="55" t="str">
        <x:v>C1.3</x:v>
      </x:c>
      <x:c r="C38" s="55" t="str">
        <x:v>Consent and consent withdrawal</x:v>
      </x:c>
      <x:c r="D38" s="55" t="str">
        <x:f>IF(Responses!$J38="","N/A",IF(Responses!$J38&lt;=3,"Yes","No"))</x:f>
        <x:v>Yes</x:v>
      </x:c>
      <x:c r="E38" s="55" t="str">
        <x:v>Review and remediate: Are pre-ticked boxes, forced consent or unnecessary bundled consent avoided?</x:v>
      </x:c>
      <x:c r="F38" s="55" t="str">
        <x:f>Responses!$K38</x:f>
        <x:v>High</x:v>
      </x:c>
      <x:c r="G38" s="55" t="str">
        <x:f>Responses!$L38</x:f>
        <x:v>P1</x:v>
      </x:c>
      <x:c r="H38" s="55" t="str">
        <x:v>Consent lifecycle gap</x:v>
      </x:c>
      <x:c r="I38" s="55" t="str">
        <x:v>Remove pre-ticked/forced/bundled consent patterns.</x:v>
      </x:c>
      <x:c r="J38" s="55" t="str">
        <x:v>Legal + IT + Process Owners</x:v>
      </x:c>
      <x:c r="K38" s="55" t="str">
        <x:v>Privacy Operations Consultant</x:v>
      </x:c>
      <x:c r="L38" s="55" t="str">
        <x:v>Consent Register</x:v>
      </x:c>
      <x:c r="M38" s="55" t="n">
        <x:v>60</x:v>
      </x:c>
      <x:c r="N38" s="55" t="str">
        <x:v>Open</x:v>
      </x:c>
      <x:c r="O38" s="55" t="str">
        <x:v>Consent UX review</x:v>
      </x:c>
      <x:c r="P38" s="55" t="str">
        <x:v>Score can improve after evidence-supported implementation and monitoring.</x:v>
      </x:c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5" t="str">
        <x:v>ACT-C1.4</x:v>
      </x:c>
      <x:c r="B39" s="55" t="str">
        <x:v>C1.4</x:v>
      </x:c>
      <x:c r="C39" s="55" t="str">
        <x:v>Consent and consent withdrawal</x:v>
      </x:c>
      <x:c r="D39" s="55" t="str">
        <x:f>IF(Responses!$J39="","N/A",IF(Responses!$J39&lt;=3,"Yes","No"))</x:f>
        <x:v>N/A</x:v>
      </x:c>
      <x:c r="E39" s="55" t="str">
        <x:v>Review and remediate: Are consent records stored with user ID, purpose, timestamp, notice version, source and status?</x:v>
      </x:c>
      <x:c r="F39" s="55" t="str">
        <x:f>Responses!$K39</x:f>
        <x:v>Critical</x:v>
      </x:c>
      <x:c r="G39" s="55" t="str">
        <x:f>Responses!$L39</x:f>
        <x:v>P0</x:v>
      </x:c>
      <x:c r="H39" s="55" t="str">
        <x:v>Consent lifecycle gap</x:v>
      </x:c>
      <x:c r="I39" s="55" t="str">
        <x:v>Implement consent logging with purpose and notice version.</x:v>
      </x:c>
      <x:c r="J39" s="55" t="str">
        <x:v>Legal + IT + Process Owners</x:v>
      </x:c>
      <x:c r="K39" s="55" t="str">
        <x:v>Privacy Operations Consultant</x:v>
      </x:c>
      <x:c r="L39" s="55" t="str">
        <x:v>Consent Register</x:v>
      </x:c>
      <x:c r="M39" s="55" t="n">
        <x:v>60</x:v>
      </x:c>
      <x:c r="N39" s="55" t="str">
        <x:v>Open</x:v>
      </x:c>
      <x:c r="O39" s="55" t="str">
        <x:v>Consent register / logs</x:v>
      </x:c>
      <x:c r="P39" s="55" t="str">
        <x:v>Score can improve after evidence-supported implementation and monitoring.</x:v>
      </x:c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5" t="str">
        <x:v>ACT-C1.5</x:v>
      </x:c>
      <x:c r="B40" s="55" t="str">
        <x:v>C1.5</x:v>
      </x:c>
      <x:c r="C40" s="55" t="str">
        <x:v>Consent and consent withdrawal</x:v>
      </x:c>
      <x:c r="D40" s="55" t="str">
        <x:f>IF(Responses!$J40="","N/A",IF(Responses!$J40&lt;=3,"Yes","No"))</x:f>
        <x:v>Yes</x:v>
      </x:c>
      <x:c r="E40" s="55" t="str">
        <x:v>Review and remediate: Can Data Principals withdraw consent easily through app, portal, email link or request workflow?</x:v>
      </x:c>
      <x:c r="F40" s="55" t="str">
        <x:f>Responses!$K40</x:f>
        <x:v>High</x:v>
      </x:c>
      <x:c r="G40" s="55" t="str">
        <x:f>Responses!$L40</x:f>
        <x:v>P1</x:v>
      </x:c>
      <x:c r="H40" s="55" t="str">
        <x:v>Consent lifecycle gap</x:v>
      </x:c>
      <x:c r="I40" s="55" t="str">
        <x:v>Implement easy consent-withdrawal mechanism.</x:v>
      </x:c>
      <x:c r="J40" s="55" t="str">
        <x:v>Legal + IT + Process Owners</x:v>
      </x:c>
      <x:c r="K40" s="55" t="str">
        <x:v>Privacy Operations Consultant</x:v>
      </x:c>
      <x:c r="L40" s="55" t="str">
        <x:v>Consent Register</x:v>
      </x:c>
      <x:c r="M40" s="55" t="n">
        <x:v>60</x:v>
      </x:c>
      <x:c r="N40" s="55" t="str">
        <x:v>Open</x:v>
      </x:c>
      <x:c r="O40" s="55" t="str">
        <x:v>Withdrawal workflow</x:v>
      </x:c>
      <x:c r="P40" s="55" t="str">
        <x:v>Score can improve after evidence-supported implementation and monitoring.</x:v>
      </x:c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5" t="str">
        <x:v>ACT-C1.6</x:v>
      </x:c>
      <x:c r="B41" s="55" t="str">
        <x:v>C1.6</x:v>
      </x:c>
      <x:c r="C41" s="55" t="str">
        <x:v>Consent and consent withdrawal</x:v>
      </x:c>
      <x:c r="D41" s="55" t="str">
        <x:f>IF(Responses!$J41="","N/A",IF(Responses!$J41&lt;=3,"Yes","No"))</x:f>
        <x:v>Yes</x:v>
      </x:c>
      <x:c r="E41" s="55" t="str">
        <x:v>Review and remediate: Does withdrawal trigger downstream stop-processing action across systems and processors?</x:v>
      </x:c>
      <x:c r="F41" s="55" t="str">
        <x:f>Responses!$K41</x:f>
        <x:v>High</x:v>
      </x:c>
      <x:c r="G41" s="55" t="str">
        <x:f>Responses!$L41</x:f>
        <x:v>P1</x:v>
      </x:c>
      <x:c r="H41" s="55" t="str">
        <x:v>Consent lifecycle gap</x:v>
      </x:c>
      <x:c r="I41" s="55" t="str">
        <x:v>Propagate withdrawal to internal systems and vendors.</x:v>
      </x:c>
      <x:c r="J41" s="55" t="str">
        <x:v>Legal + IT + Process Owners</x:v>
      </x:c>
      <x:c r="K41" s="55" t="str">
        <x:v>Privacy Operations Consultant</x:v>
      </x:c>
      <x:c r="L41" s="55" t="str">
        <x:v>Consent Register</x:v>
      </x:c>
      <x:c r="M41" s="55" t="n">
        <x:v>60</x:v>
      </x:c>
      <x:c r="N41" s="55" t="str">
        <x:v>Open</x:v>
      </x:c>
      <x:c r="O41" s="55" t="str">
        <x:v>Withdrawal SOP / test record</x:v>
      </x:c>
      <x:c r="P41" s="55" t="str">
        <x:v>Score can improve after evidence-supported implementation and monitoring.</x:v>
      </x:c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5" t="str">
        <x:v>ACT-R1.1</x:v>
      </x:c>
      <x:c r="B42" s="55" t="str">
        <x:v>R1.1</x:v>
      </x:c>
      <x:c r="C42" s="55" t="str">
        <x:v>Data Principal rights</x:v>
      </x:c>
      <x:c r="D42" s="55" t="str">
        <x:f>IF(Responses!$J42="","N/A",IF(Responses!$J42&lt;=3,"Yes","No"))</x:f>
        <x:v>Yes</x:v>
      </x:c>
      <x:c r="E42" s="55" t="str">
        <x:v>Review and remediate: Has the organisation defined how Data Principals can request access to information about their personal data?</x:v>
      </x:c>
      <x:c r="F42" s="55" t="str">
        <x:f>Responses!$K42</x:f>
        <x:v>High</x:v>
      </x:c>
      <x:c r="G42" s="55" t="str">
        <x:f>Responses!$L42</x:f>
        <x:v>P1</x:v>
      </x:c>
      <x:c r="H42" s="55" t="str">
        <x:v>Rights process gap</x:v>
      </x:c>
      <x:c r="I42" s="55" t="str">
        <x:v>Create rights intake and handling workflow.</x:v>
      </x:c>
      <x:c r="J42" s="55" t="str">
        <x:v>Legal + Registrar / Customer Ops</x:v>
      </x:c>
      <x:c r="K42" s="55" t="str">
        <x:v>Privacy Operations Consultant</x:v>
      </x:c>
      <x:c r="L42" s="55" t="str">
        <x:v>Data Principal Rights Workflow</x:v>
      </x:c>
      <x:c r="M42" s="55" t="n">
        <x:v>60</x:v>
      </x:c>
      <x:c r="N42" s="55" t="str">
        <x:v>Open</x:v>
      </x:c>
      <x:c r="O42" s="55" t="str">
        <x:v>Rights request SOP</x:v>
      </x:c>
      <x:c r="P42" s="55" t="str">
        <x:v>Score can improve after evidence-supported implementation and monitoring.</x:v>
      </x:c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5" t="str">
        <x:v>ACT-R1.2</x:v>
      </x:c>
      <x:c r="B43" s="55" t="str">
        <x:v>R1.2</x:v>
      </x:c>
      <x:c r="C43" s="55" t="str">
        <x:v>Data Principal rights</x:v>
      </x:c>
      <x:c r="D43" s="55" t="str">
        <x:f>IF(Responses!$J43="","N/A",IF(Responses!$J43&lt;=3,"Yes","No"))</x:f>
        <x:v>Yes</x:v>
      </x:c>
      <x:c r="E43" s="55" t="str">
        <x:v>Review and remediate: Is there a workflow for correction and updating of personal data?</x:v>
      </x:c>
      <x:c r="F43" s="55" t="str">
        <x:f>Responses!$K43</x:f>
        <x:v>High</x:v>
      </x:c>
      <x:c r="G43" s="55" t="str">
        <x:f>Responses!$L43</x:f>
        <x:v>P1</x:v>
      </x:c>
      <x:c r="H43" s="55" t="str">
        <x:v>Rights process gap</x:v>
      </x:c>
      <x:c r="I43" s="55" t="str">
        <x:v>Define correction workflow with downstream updates.</x:v>
      </x:c>
      <x:c r="J43" s="55" t="str">
        <x:v>Legal + Registrar / Customer Ops</x:v>
      </x:c>
      <x:c r="K43" s="55" t="str">
        <x:v>Privacy Operations Consultant</x:v>
      </x:c>
      <x:c r="L43" s="55" t="str">
        <x:v>Data Principal Rights Workflow</x:v>
      </x:c>
      <x:c r="M43" s="55" t="n">
        <x:v>60</x:v>
      </x:c>
      <x:c r="N43" s="55" t="str">
        <x:v>Open</x:v>
      </x:c>
      <x:c r="O43" s="55" t="str">
        <x:v>Correction workflow</x:v>
      </x:c>
      <x:c r="P43" s="55" t="str">
        <x:v>Score can improve after evidence-supported implementation and monitoring.</x:v>
      </x:c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5" t="str">
        <x:v>ACT-R1.3</x:v>
      </x:c>
      <x:c r="B44" s="55" t="str">
        <x:v>R1.3</x:v>
      </x:c>
      <x:c r="C44" s="55" t="str">
        <x:v>Data Principal rights</x:v>
      </x:c>
      <x:c r="D44" s="55" t="str">
        <x:f>IF(Responses!$J44="","N/A",IF(Responses!$J44&lt;=3,"Yes","No"))</x:f>
        <x:v>Yes</x:v>
      </x:c>
      <x:c r="E44" s="55" t="str">
        <x:v>Review and remediate: Is there a workflow for erasure requests with legal-retention checks?</x:v>
      </x:c>
      <x:c r="F44" s="55" t="str">
        <x:f>Responses!$K44</x:f>
        <x:v>High</x:v>
      </x:c>
      <x:c r="G44" s="55" t="str">
        <x:f>Responses!$L44</x:f>
        <x:v>P1</x:v>
      </x:c>
      <x:c r="H44" s="55" t="str">
        <x:v>Rights process gap</x:v>
      </x:c>
      <x:c r="I44" s="55" t="str">
        <x:v>Create erasure workflow with retention exceptions.</x:v>
      </x:c>
      <x:c r="J44" s="55" t="str">
        <x:v>Legal + Registrar / Customer Ops</x:v>
      </x:c>
      <x:c r="K44" s="55" t="str">
        <x:v>Privacy Operations Consultant</x:v>
      </x:c>
      <x:c r="L44" s="55" t="str">
        <x:v>Data Principal Rights Workflow</x:v>
      </x:c>
      <x:c r="M44" s="55" t="n">
        <x:v>60</x:v>
      </x:c>
      <x:c r="N44" s="55" t="str">
        <x:v>Open</x:v>
      </x:c>
      <x:c r="O44" s="55" t="str">
        <x:v>Erasure SOP</x:v>
      </x:c>
      <x:c r="P44" s="55" t="str">
        <x:v>Score can improve after evidence-supported implementation and monitoring.</x:v>
      </x:c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5" t="str">
        <x:v>ACT-R1.4</x:v>
      </x:c>
      <x:c r="B45" s="55" t="str">
        <x:v>R1.4</x:v>
      </x:c>
      <x:c r="C45" s="55" t="str">
        <x:v>Data Principal rights</x:v>
      </x:c>
      <x:c r="D45" s="55" t="str">
        <x:f>IF(Responses!$J45="","N/A",IF(Responses!$J45&lt;=3,"Yes","No"))</x:f>
        <x:v>Yes</x:v>
      </x:c>
      <x:c r="E45" s="55" t="str">
        <x:v>Review and remediate: Is nomination supported where applicable?</x:v>
      </x:c>
      <x:c r="F45" s="55" t="str">
        <x:f>Responses!$K45</x:f>
        <x:v>High</x:v>
      </x:c>
      <x:c r="G45" s="55" t="str">
        <x:f>Responses!$L45</x:f>
        <x:v>P1</x:v>
      </x:c>
      <x:c r="H45" s="55" t="str">
        <x:v>Rights process gap</x:v>
      </x:c>
      <x:c r="I45" s="55" t="str">
        <x:v>Add nomination request and recording process.</x:v>
      </x:c>
      <x:c r="J45" s="55" t="str">
        <x:v>Legal + Registrar / Customer Ops</x:v>
      </x:c>
      <x:c r="K45" s="55" t="str">
        <x:v>Privacy Operations Consultant</x:v>
      </x:c>
      <x:c r="L45" s="55" t="str">
        <x:v>Data Principal Rights Workflow</x:v>
      </x:c>
      <x:c r="M45" s="55" t="n">
        <x:v>60</x:v>
      </x:c>
      <x:c r="N45" s="55" t="str">
        <x:v>Open</x:v>
      </x:c>
      <x:c r="O45" s="55" t="str">
        <x:v>Nomination workflow</x:v>
      </x:c>
      <x:c r="P45" s="55" t="str">
        <x:v>Score can improve after evidence-supported implementation and monitoring.</x:v>
      </x:c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5" t="str">
        <x:v>ACT-R1.5</x:v>
      </x:c>
      <x:c r="B46" s="55" t="str">
        <x:v>R1.5</x:v>
      </x:c>
      <x:c r="C46" s="55" t="str">
        <x:v>Data Principal rights</x:v>
      </x:c>
      <x:c r="D46" s="55" t="str">
        <x:f>IF(Responses!$J46="","N/A",IF(Responses!$J46&lt;=3,"Yes","No"))</x:f>
        <x:v>Yes</x:v>
      </x:c>
      <x:c r="E46" s="55" t="str">
        <x:v>Review and remediate: Are rights requests tracked with status, owner, due date, response and evidence?</x:v>
      </x:c>
      <x:c r="F46" s="55" t="str">
        <x:f>Responses!$K46</x:f>
        <x:v>High</x:v>
      </x:c>
      <x:c r="G46" s="55" t="str">
        <x:f>Responses!$L46</x:f>
        <x:v>P1</x:v>
      </x:c>
      <x:c r="H46" s="55" t="str">
        <x:v>Rights process gap</x:v>
      </x:c>
      <x:c r="I46" s="55" t="str">
        <x:v>Implement rights request tracker.</x:v>
      </x:c>
      <x:c r="J46" s="55" t="str">
        <x:v>Legal + Registrar / Customer Ops</x:v>
      </x:c>
      <x:c r="K46" s="55" t="str">
        <x:v>Privacy Operations Consultant</x:v>
      </x:c>
      <x:c r="L46" s="55" t="str">
        <x:v>Data Principal Rights Workflow</x:v>
      </x:c>
      <x:c r="M46" s="55" t="n">
        <x:v>60</x:v>
      </x:c>
      <x:c r="N46" s="55" t="str">
        <x:v>Open</x:v>
      </x:c>
      <x:c r="O46" s="55" t="str">
        <x:v>Rights tracker</x:v>
      </x:c>
      <x:c r="P46" s="55" t="str">
        <x:v>Score can improve after evidence-supported implementation and monitoring.</x:v>
      </x:c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5" t="str">
        <x:v>ACT-R1.6</x:v>
      </x:c>
      <x:c r="B47" s="55" t="str">
        <x:v>R1.6</x:v>
      </x:c>
      <x:c r="C47" s="55" t="str">
        <x:v>Data Principal rights</x:v>
      </x:c>
      <x:c r="D47" s="55" t="str">
        <x:f>IF(Responses!$J47="","N/A",IF(Responses!$J47&lt;=3,"Yes","No"))</x:f>
        <x:v>Yes</x:v>
      </x:c>
      <x:c r="E47" s="55" t="str">
        <x:v>Review and remediate: Are identity verification steps defined before acting on rights requests?</x:v>
      </x:c>
      <x:c r="F47" s="55" t="str">
        <x:f>Responses!$K47</x:f>
        <x:v>High</x:v>
      </x:c>
      <x:c r="G47" s="55" t="str">
        <x:f>Responses!$L47</x:f>
        <x:v>P1</x:v>
      </x:c>
      <x:c r="H47" s="55" t="str">
        <x:v>Rights process gap</x:v>
      </x:c>
      <x:c r="I47" s="55" t="str">
        <x:v>Add identity verification before disclosure or changes.</x:v>
      </x:c>
      <x:c r="J47" s="55" t="str">
        <x:v>Legal + Registrar / Customer Ops</x:v>
      </x:c>
      <x:c r="K47" s="55" t="str">
        <x:v>Privacy Operations Consultant</x:v>
      </x:c>
      <x:c r="L47" s="55" t="str">
        <x:v>Data Principal Rights Workflow</x:v>
      </x:c>
      <x:c r="M47" s="55" t="n">
        <x:v>60</x:v>
      </x:c>
      <x:c r="N47" s="55" t="str">
        <x:v>Open</x:v>
      </x:c>
      <x:c r="O47" s="55" t="str">
        <x:v>Verification SOP</x:v>
      </x:c>
      <x:c r="P47" s="55" t="str">
        <x:v>Score can improve after evidence-supported implementation and monitoring.</x:v>
      </x:c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5" t="str">
        <x:v>ACT-GR1.1</x:v>
      </x:c>
      <x:c r="B48" s="55" t="str">
        <x:v>GR1.1</x:v>
      </x:c>
      <x:c r="C48" s="55" t="str">
        <x:v>Grievance redressal and contact publication</x:v>
      </x:c>
      <x:c r="D48" s="55" t="str">
        <x:f>IF(Responses!$J48="","N/A",IF(Responses!$J48&lt;=3,"Yes","No"))</x:f>
        <x:v>N/A</x:v>
      </x:c>
      <x:c r="E48" s="55" t="str">
        <x:v>Review and remediate: Has the organisation published business contact information for DPDP/privacy queries?</x:v>
      </x:c>
      <x:c r="F48" s="55" t="str">
        <x:f>Responses!$K48</x:f>
        <x:v>Critical</x:v>
      </x:c>
      <x:c r="G48" s="55" t="str">
        <x:f>Responses!$L48</x:f>
        <x:v>P0</x:v>
      </x:c>
      <x:c r="H48" s="55" t="str">
        <x:v>Grievance process gap</x:v>
      </x:c>
      <x:c r="I48" s="55" t="str">
        <x:v>Publish privacy contact on website/app/portal.</x:v>
      </x:c>
      <x:c r="J48" s="55" t="str">
        <x:v>Legal + DPDP Owner</x:v>
      </x:c>
      <x:c r="K48" s="55" t="str">
        <x:v>Privacy Operations Consultant</x:v>
      </x:c>
      <x:c r="L48" s="55" t="str">
        <x:v>Grievance Tracker</x:v>
      </x:c>
      <x:c r="M48" s="55" t="n">
        <x:v>30</x:v>
      </x:c>
      <x:c r="N48" s="55" t="str">
        <x:v>Open</x:v>
      </x:c>
      <x:c r="O48" s="55" t="str">
        <x:v>Website/app screenshot</x:v>
      </x:c>
      <x:c r="P48" s="55" t="str">
        <x:v>Score can improve after evidence-supported implementation and monitoring.</x:v>
      </x:c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5" t="str">
        <x:v>ACT-GR1.2</x:v>
      </x:c>
      <x:c r="B49" s="55" t="str">
        <x:v>GR1.2</x:v>
      </x:c>
      <x:c r="C49" s="55" t="str">
        <x:v>Grievance redressal and contact publication</x:v>
      </x:c>
      <x:c r="D49" s="55" t="str">
        <x:f>IF(Responses!$J49="","N/A",IF(Responses!$J49&lt;=3,"Yes","No"))</x:f>
        <x:v>N/A</x:v>
      </x:c>
      <x:c r="E49" s="55" t="str">
        <x:v>Review and remediate: Is there a grievance redressal mechanism specifically covering personal data complaints?</x:v>
      </x:c>
      <x:c r="F49" s="55" t="str">
        <x:f>Responses!$K49</x:f>
        <x:v>Critical</x:v>
      </x:c>
      <x:c r="G49" s="55" t="str">
        <x:f>Responses!$L49</x:f>
        <x:v>P0</x:v>
      </x:c>
      <x:c r="H49" s="55" t="str">
        <x:v>Grievance process gap</x:v>
      </x:c>
      <x:c r="I49" s="55" t="str">
        <x:v>Create DPDP grievance mechanism.</x:v>
      </x:c>
      <x:c r="J49" s="55" t="str">
        <x:v>Legal + DPDP Owner</x:v>
      </x:c>
      <x:c r="K49" s="55" t="str">
        <x:v>Privacy Operations Consultant</x:v>
      </x:c>
      <x:c r="L49" s="55" t="str">
        <x:v>Grievance Tracker</x:v>
      </x:c>
      <x:c r="M49" s="55" t="n">
        <x:v>30</x:v>
      </x:c>
      <x:c r="N49" s="55" t="str">
        <x:v>Open</x:v>
      </x:c>
      <x:c r="O49" s="55" t="str">
        <x:v>Grievance SOP</x:v>
      </x:c>
      <x:c r="P49" s="55" t="str">
        <x:v>Score can improve after evidence-supported implementation and monitoring.</x:v>
      </x:c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5" t="str">
        <x:v>ACT-GR1.3</x:v>
      </x:c>
      <x:c r="B50" s="55" t="str">
        <x:v>GR1.3</x:v>
      </x:c>
      <x:c r="C50" s="55" t="str">
        <x:v>Grievance redressal and contact publication</x:v>
      </x:c>
      <x:c r="D50" s="55" t="str">
        <x:f>IF(Responses!$J50="","N/A",IF(Responses!$J50&lt;=3,"Yes","No"))</x:f>
        <x:v>Yes</x:v>
      </x:c>
      <x:c r="E50" s="55" t="str">
        <x:v>Review and remediate: Is the grievance channel visible in website, app, portal and privacy communications?</x:v>
      </x:c>
      <x:c r="F50" s="55" t="str">
        <x:f>Responses!$K50</x:f>
        <x:v>High</x:v>
      </x:c>
      <x:c r="G50" s="55" t="str">
        <x:f>Responses!$L50</x:f>
        <x:v>P1</x:v>
      </x:c>
      <x:c r="H50" s="55" t="str">
        <x:v>Grievance process gap</x:v>
      </x:c>
      <x:c r="I50" s="55" t="str">
        <x:v>Make grievance channel visible wherever personal data is collected.</x:v>
      </x:c>
      <x:c r="J50" s="55" t="str">
        <x:v>Legal + DPDP Owner</x:v>
      </x:c>
      <x:c r="K50" s="55" t="str">
        <x:v>Privacy Operations Consultant</x:v>
      </x:c>
      <x:c r="L50" s="55" t="str">
        <x:v>Grievance Tracker</x:v>
      </x:c>
      <x:c r="M50" s="55" t="n">
        <x:v>30</x:v>
      </x:c>
      <x:c r="N50" s="55" t="str">
        <x:v>Open</x:v>
      </x:c>
      <x:c r="O50" s="55" t="str">
        <x:v>Screenshots / notice links</x:v>
      </x:c>
      <x:c r="P50" s="55" t="str">
        <x:v>Score can improve after evidence-supported implementation and monitoring.</x:v>
      </x:c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5" t="str">
        <x:v>ACT-GR1.4</x:v>
      </x:c>
      <x:c r="B51" s="55" t="str">
        <x:v>GR1.4</x:v>
      </x:c>
      <x:c r="C51" s="55" t="str">
        <x:v>Grievance redressal and contact publication</x:v>
      </x:c>
      <x:c r="D51" s="55" t="str">
        <x:f>IF(Responses!$J51="","N/A",IF(Responses!$J51&lt;=3,"Yes","No"))</x:f>
        <x:v>Yes</x:v>
      </x:c>
      <x:c r="E51" s="55" t="str">
        <x:v>Review and remediate: Are grievances tracked with acknowledgement, owner, timeline, closure and evidence?</x:v>
      </x:c>
      <x:c r="F51" s="55" t="str">
        <x:f>Responses!$K51</x:f>
        <x:v>High</x:v>
      </x:c>
      <x:c r="G51" s="55" t="str">
        <x:f>Responses!$L51</x:f>
        <x:v>P1</x:v>
      </x:c>
      <x:c r="H51" s="55" t="str">
        <x:v>Grievance process gap</x:v>
      </x:c>
      <x:c r="I51" s="55" t="str">
        <x:v>Set up grievance tracker and closure evidence.</x:v>
      </x:c>
      <x:c r="J51" s="55" t="str">
        <x:v>Legal + DPDP Owner</x:v>
      </x:c>
      <x:c r="K51" s="55" t="str">
        <x:v>Privacy Operations Consultant</x:v>
      </x:c>
      <x:c r="L51" s="55" t="str">
        <x:v>Grievance Tracker</x:v>
      </x:c>
      <x:c r="M51" s="55" t="n">
        <x:v>30</x:v>
      </x:c>
      <x:c r="N51" s="55" t="str">
        <x:v>Open</x:v>
      </x:c>
      <x:c r="O51" s="55" t="str">
        <x:v>Grievance tracker</x:v>
      </x:c>
      <x:c r="P51" s="55" t="str">
        <x:v>Score can improve after evidence-supported implementation and monitoring.</x:v>
      </x:c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5" t="str">
        <x:v>ACT-GR1.5</x:v>
      </x:c>
      <x:c r="B52" s="55" t="str">
        <x:v>GR1.5</x:v>
      </x:c>
      <x:c r="C52" s="55" t="str">
        <x:v>Grievance redressal and contact publication</x:v>
      </x:c>
      <x:c r="D52" s="55" t="str">
        <x:f>IF(Responses!$J52="","N/A",IF(Responses!$J52&lt;=3,"Yes","No"))</x:f>
        <x:v>Yes</x:v>
      </x:c>
      <x:c r="E52" s="55" t="str">
        <x:v>Review and remediate: Are unresolved or high-risk grievances escalated to senior governance?</x:v>
      </x:c>
      <x:c r="F52" s="55" t="str">
        <x:f>Responses!$K52</x:f>
        <x:v>High</x:v>
      </x:c>
      <x:c r="G52" s="55" t="str">
        <x:f>Responses!$L52</x:f>
        <x:v>P1</x:v>
      </x:c>
      <x:c r="H52" s="55" t="str">
        <x:v>Grievance process gap</x:v>
      </x:c>
      <x:c r="I52" s="55" t="str">
        <x:v>Define escalation path for unresolved/high-risk grievances.</x:v>
      </x:c>
      <x:c r="J52" s="55" t="str">
        <x:v>Legal + DPDP Owner</x:v>
      </x:c>
      <x:c r="K52" s="55" t="str">
        <x:v>Privacy Operations Consultant</x:v>
      </x:c>
      <x:c r="L52" s="55" t="str">
        <x:v>Grievance Tracker</x:v>
      </x:c>
      <x:c r="M52" s="55" t="n">
        <x:v>30</x:v>
      </x:c>
      <x:c r="N52" s="55" t="str">
        <x:v>Open</x:v>
      </x:c>
      <x:c r="O52" s="55" t="str">
        <x:v>Escalation matrix</x:v>
      </x:c>
      <x:c r="P52" s="55" t="str">
        <x:v>Score can improve after evidence-supported implementation and monitoring.</x:v>
      </x:c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5" t="str">
        <x:v>ACT-RE1.1</x:v>
      </x:c>
      <x:c r="B53" s="55" t="str">
        <x:v>RE1.1</x:v>
      </x:c>
      <x:c r="C53" s="55" t="str">
        <x:v>Retention, erasure and archival</x:v>
      </x:c>
      <x:c r="D53" s="55" t="str">
        <x:f>IF(Responses!$J53="","N/A",IF(Responses!$J53&lt;=3,"Yes","No"))</x:f>
        <x:v>Yes</x:v>
      </x:c>
      <x:c r="E53" s="55" t="str">
        <x:v>Review and remediate: Has the organisation defined retention periods for each personal data category?</x:v>
      </x:c>
      <x:c r="F53" s="55" t="str">
        <x:f>Responses!$K53</x:f>
        <x:v>High</x:v>
      </x:c>
      <x:c r="G53" s="55" t="str">
        <x:f>Responses!$L53</x:f>
        <x:v>P1</x:v>
      </x:c>
      <x:c r="H53" s="55" t="str">
        <x:v>Retention/erasure gap</x:v>
      </x:c>
      <x:c r="I53" s="55" t="str">
        <x:v>Create category-wise retention schedule.</x:v>
      </x:c>
      <x:c r="J53" s="55" t="str">
        <x:v>Legal + Records Owners + IT</x:v>
      </x:c>
      <x:c r="K53" s="55" t="str">
        <x:v>Privacy Operations Consultant</x:v>
      </x:c>
      <x:c r="L53" s="55" t="str">
        <x:v>Retention Register</x:v>
      </x:c>
      <x:c r="M53" s="55" t="n">
        <x:v>60</x:v>
      </x:c>
      <x:c r="N53" s="55" t="str">
        <x:v>Open</x:v>
      </x:c>
      <x:c r="O53" s="55" t="str">
        <x:v>Retention schedule</x:v>
      </x:c>
      <x:c r="P53" s="55" t="str">
        <x:v>Score can improve after evidence-supported implementation and monitoring.</x:v>
      </x:c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5" t="str">
        <x:v>ACT-RE1.2</x:v>
      </x:c>
      <x:c r="B54" s="55" t="str">
        <x:v>RE1.2</x:v>
      </x:c>
      <x:c r="C54" s="55" t="str">
        <x:v>Retention, erasure and archival</x:v>
      </x:c>
      <x:c r="D54" s="55" t="str">
        <x:f>IF(Responses!$J54="","N/A",IF(Responses!$J54&lt;=3,"Yes","No"))</x:f>
        <x:v>Yes</x:v>
      </x:c>
      <x:c r="E54" s="55" t="str">
        <x:v>Review and remediate: Are legal, regulatory, academic, employment, tax and audit retention requirements considered?</x:v>
      </x:c>
      <x:c r="F54" s="55" t="str">
        <x:f>Responses!$K54</x:f>
        <x:v>High</x:v>
      </x:c>
      <x:c r="G54" s="55" t="str">
        <x:f>Responses!$L54</x:f>
        <x:v>P1</x:v>
      </x:c>
      <x:c r="H54" s="55" t="str">
        <x:v>Retention/erasure gap</x:v>
      </x:c>
      <x:c r="I54" s="55" t="str">
        <x:v>Map retention to applicable legal/operational basis.</x:v>
      </x:c>
      <x:c r="J54" s="55" t="str">
        <x:v>Legal + Records Owners + IT</x:v>
      </x:c>
      <x:c r="K54" s="55" t="str">
        <x:v>Privacy Operations Consultant</x:v>
      </x:c>
      <x:c r="L54" s="55" t="str">
        <x:v>Retention Register</x:v>
      </x:c>
      <x:c r="M54" s="55" t="n">
        <x:v>60</x:v>
      </x:c>
      <x:c r="N54" s="55" t="str">
        <x:v>Open</x:v>
      </x:c>
      <x:c r="O54" s="55" t="str">
        <x:v>Legal retention mapping</x:v>
      </x:c>
      <x:c r="P54" s="55" t="str">
        <x:v>Score can improve after evidence-supported implementation and monitoring.</x:v>
      </x:c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5" t="str">
        <x:v>ACT-RE1.3</x:v>
      </x:c>
      <x:c r="B55" s="55" t="str">
        <x:v>RE1.3</x:v>
      </x:c>
      <x:c r="C55" s="55" t="str">
        <x:v>Retention, erasure and archival</x:v>
      </x:c>
      <x:c r="D55" s="55" t="str">
        <x:f>IF(Responses!$J55="","N/A",IF(Responses!$J55&lt;=3,"Yes","No"))</x:f>
        <x:v>Yes</x:v>
      </x:c>
      <x:c r="E55" s="55" t="str">
        <x:v>Review and remediate: Is there a process to erase or anonymise personal data when purpose is over?</x:v>
      </x:c>
      <x:c r="F55" s="55" t="str">
        <x:f>Responses!$K55</x:f>
        <x:v>High</x:v>
      </x:c>
      <x:c r="G55" s="55" t="str">
        <x:f>Responses!$L55</x:f>
        <x:v>P1</x:v>
      </x:c>
      <x:c r="H55" s="55" t="str">
        <x:v>Retention/erasure gap</x:v>
      </x:c>
      <x:c r="I55" s="55" t="str">
        <x:v>Define purpose-completion erasure/anonymisation process.</x:v>
      </x:c>
      <x:c r="J55" s="55" t="str">
        <x:v>Legal + Records Owners + IT</x:v>
      </x:c>
      <x:c r="K55" s="55" t="str">
        <x:v>Privacy Operations Consultant</x:v>
      </x:c>
      <x:c r="L55" s="55" t="str">
        <x:v>Retention Register</x:v>
      </x:c>
      <x:c r="M55" s="55" t="n">
        <x:v>60</x:v>
      </x:c>
      <x:c r="N55" s="55" t="str">
        <x:v>Open</x:v>
      </x:c>
      <x:c r="O55" s="55" t="str">
        <x:v>Erasure/anonymisation SOP</x:v>
      </x:c>
      <x:c r="P55" s="55" t="str">
        <x:v>Score can improve after evidence-supported implementation and monitoring.</x:v>
      </x:c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5" t="str">
        <x:v>ACT-RE1.4</x:v>
      </x:c>
      <x:c r="B56" s="55" t="str">
        <x:v>RE1.4</x:v>
      </x:c>
      <x:c r="C56" s="55" t="str">
        <x:v>Retention, erasure and archival</x:v>
      </x:c>
      <x:c r="D56" s="55" t="str">
        <x:f>IF(Responses!$J56="","N/A",IF(Responses!$J56&lt;=3,"Yes","No"))</x:f>
        <x:v>Yes</x:v>
      </x:c>
      <x:c r="E56" s="55" t="str">
        <x:v>Review and remediate: Are processors/vendors required to erase data when instructed?</x:v>
      </x:c>
      <x:c r="F56" s="55" t="str">
        <x:f>Responses!$K56</x:f>
        <x:v>High</x:v>
      </x:c>
      <x:c r="G56" s="55" t="str">
        <x:f>Responses!$L56</x:f>
        <x:v>P1</x:v>
      </x:c>
      <x:c r="H56" s="55" t="str">
        <x:v>Retention/erasure gap</x:v>
      </x:c>
      <x:c r="I56" s="55" t="str">
        <x:v>Add vendor deletion obligations and confirmation process.</x:v>
      </x:c>
      <x:c r="J56" s="55" t="str">
        <x:v>Legal + Records Owners + IT</x:v>
      </x:c>
      <x:c r="K56" s="55" t="str">
        <x:v>Privacy Operations Consultant</x:v>
      </x:c>
      <x:c r="L56" s="55" t="str">
        <x:v>Retention Register</x:v>
      </x:c>
      <x:c r="M56" s="55" t="n">
        <x:v>60</x:v>
      </x:c>
      <x:c r="N56" s="55" t="str">
        <x:v>Open</x:v>
      </x:c>
      <x:c r="O56" s="55" t="str">
        <x:v>Vendor deletion clause / certificate</x:v>
      </x:c>
      <x:c r="P56" s="55" t="str">
        <x:v>Score can improve after evidence-supported implementation and monitoring.</x:v>
      </x:c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5" t="str">
        <x:v>ACT-RE1.5</x:v>
      </x:c>
      <x:c r="B57" s="55" t="str">
        <x:v>RE1.5</x:v>
      </x:c>
      <x:c r="C57" s="55" t="str">
        <x:v>Retention, erasure and archival</x:v>
      </x:c>
      <x:c r="D57" s="55" t="str">
        <x:f>IF(Responses!$J57="","N/A",IF(Responses!$J57&lt;=3,"Yes","No"))</x:f>
        <x:v>Yes</x:v>
      </x:c>
      <x:c r="E57" s="55" t="str">
        <x:v>Review and remediate: Are logs and processing records retained for security and breach investigation as required?</x:v>
      </x:c>
      <x:c r="F57" s="55" t="str">
        <x:f>Responses!$K57</x:f>
        <x:v>High</x:v>
      </x:c>
      <x:c r="G57" s="55" t="str">
        <x:f>Responses!$L57</x:f>
        <x:v>P1</x:v>
      </x:c>
      <x:c r="H57" s="55" t="str">
        <x:v>Retention/erasure gap</x:v>
      </x:c>
      <x:c r="I57" s="55" t="str">
        <x:v>Define log retention and monitoring process.</x:v>
      </x:c>
      <x:c r="J57" s="55" t="str">
        <x:v>Legal + Records Owners + IT</x:v>
      </x:c>
      <x:c r="K57" s="55" t="str">
        <x:v>Privacy Operations Consultant</x:v>
      </x:c>
      <x:c r="L57" s="55" t="str">
        <x:v>Retention Register</x:v>
      </x:c>
      <x:c r="M57" s="55" t="n">
        <x:v>60</x:v>
      </x:c>
      <x:c r="N57" s="55" t="str">
        <x:v>Open</x:v>
      </x:c>
      <x:c r="O57" s="55" t="str">
        <x:v>Log retention policy</x:v>
      </x:c>
      <x:c r="P57" s="55" t="str">
        <x:v>Score can improve after evidence-supported implementation and monitoring.</x:v>
      </x:c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5" t="str">
        <x:v>ACT-RE1.6</x:v>
      </x:c>
      <x:c r="B58" s="55" t="str">
        <x:v>RE1.6</x:v>
      </x:c>
      <x:c r="C58" s="55" t="str">
        <x:v>Retention, erasure and archival</x:v>
      </x:c>
      <x:c r="D58" s="55" t="str">
        <x:f>IF(Responses!$J58="","N/A",IF(Responses!$J58&lt;=3,"Yes","No"))</x:f>
        <x:v>Yes</x:v>
      </x:c>
      <x:c r="E58" s="55" t="str">
        <x:v>Review and remediate: Is there periodic review of old records, inactive accounts, old leads, archived files and legacy databases?</x:v>
      </x:c>
      <x:c r="F58" s="55" t="str">
        <x:f>Responses!$K58</x:f>
        <x:v>High</x:v>
      </x:c>
      <x:c r="G58" s="55" t="str">
        <x:f>Responses!$L58</x:f>
        <x:v>P1</x:v>
      </x:c>
      <x:c r="H58" s="55" t="str">
        <x:v>Retention/erasure gap</x:v>
      </x:c>
      <x:c r="I58" s="55" t="str">
        <x:v>Run periodic stale-data review.</x:v>
      </x:c>
      <x:c r="J58" s="55" t="str">
        <x:v>Legal + Records Owners + IT</x:v>
      </x:c>
      <x:c r="K58" s="55" t="str">
        <x:v>Privacy Operations Consultant</x:v>
      </x:c>
      <x:c r="L58" s="55" t="str">
        <x:v>Retention Register</x:v>
      </x:c>
      <x:c r="M58" s="55" t="n">
        <x:v>60</x:v>
      </x:c>
      <x:c r="N58" s="55" t="str">
        <x:v>Open</x:v>
      </x:c>
      <x:c r="O58" s="55" t="str">
        <x:v>Review records</x:v>
      </x:c>
      <x:c r="P58" s="55" t="str">
        <x:v>Score can improve after evidence-supported implementation and monitoring.</x:v>
      </x:c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5" t="str">
        <x:v>ACT-A1.1</x:v>
      </x:c>
      <x:c r="B59" s="55" t="str">
        <x:v>A1.1</x:v>
      </x:c>
      <x:c r="C59" s="55" t="str">
        <x:v>Data accuracy and quality</x:v>
      </x:c>
      <x:c r="D59" s="55" t="str">
        <x:f>IF(Responses!$J59="","N/A",IF(Responses!$J59&lt;=3,"Yes","No"))</x:f>
        <x:v>Yes</x:v>
      </x:c>
      <x:c r="E59" s="55" t="str">
        <x:v>Review and remediate: Are processes defined to keep personal data accurate, complete and updated?</x:v>
      </x:c>
      <x:c r="F59" s="55" t="str">
        <x:f>Responses!$K59</x:f>
        <x:v>Medium</x:v>
      </x:c>
      <x:c r="G59" s="55" t="str">
        <x:f>Responses!$L59</x:f>
        <x:v>P2</x:v>
      </x:c>
      <x:c r="H59" s="55" t="str">
        <x:v>Data quality gap</x:v>
      </x:c>
      <x:c r="I59" s="55" t="str">
        <x:v>Create data quality and correction SOP.</x:v>
      </x:c>
      <x:c r="J59" s="55" t="str">
        <x:v>Data Owners + IT</x:v>
      </x:c>
      <x:c r="K59" s="55" t="str">
        <x:v>Data Discovery Lead</x:v>
      </x:c>
      <x:c r="L59" s="55" t="str">
        <x:v>Data Quality Register</x:v>
      </x:c>
      <x:c r="M59" s="55" t="n">
        <x:v>60</x:v>
      </x:c>
      <x:c r="N59" s="55" t="str">
        <x:v>Open</x:v>
      </x:c>
      <x:c r="O59" s="55" t="str">
        <x:v>Data quality SOP</x:v>
      </x:c>
      <x:c r="P59" s="55" t="str">
        <x:v>Score can improve after evidence-supported implementation and monitoring.</x:v>
      </x:c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5" t="str">
        <x:v>ACT-A1.2</x:v>
      </x:c>
      <x:c r="B60" s="55" t="str">
        <x:v>A1.2</x:v>
      </x:c>
      <x:c r="C60" s="55" t="str">
        <x:v>Data accuracy and quality</x:v>
      </x:c>
      <x:c r="D60" s="55" t="str">
        <x:f>IF(Responses!$J60="","N/A",IF(Responses!$J60&lt;=3,"Yes","No"))</x:f>
        <x:v>Yes</x:v>
      </x:c>
      <x:c r="E60" s="55" t="str">
        <x:v>Review and remediate: Are critical fields identified where inaccurate data can affect decisions?</x:v>
      </x:c>
      <x:c r="F60" s="55" t="str">
        <x:f>Responses!$K60</x:f>
        <x:v>Medium</x:v>
      </x:c>
      <x:c r="G60" s="55" t="str">
        <x:f>Responses!$L60</x:f>
        <x:v>P2</x:v>
      </x:c>
      <x:c r="H60" s="55" t="str">
        <x:v>Data quality gap</x:v>
      </x:c>
      <x:c r="I60" s="55" t="str">
        <x:v>Identify critical fields such as DOB, marks, eligibility, payroll details.</x:v>
      </x:c>
      <x:c r="J60" s="55" t="str">
        <x:v>Data Owners + IT</x:v>
      </x:c>
      <x:c r="K60" s="55" t="str">
        <x:v>Data Discovery Lead</x:v>
      </x:c>
      <x:c r="L60" s="55" t="str">
        <x:v>Data Quality Register</x:v>
      </x:c>
      <x:c r="M60" s="55" t="n">
        <x:v>60</x:v>
      </x:c>
      <x:c r="N60" s="55" t="str">
        <x:v>Open</x:v>
      </x:c>
      <x:c r="O60" s="55" t="str">
        <x:v>Critical field register</x:v>
      </x:c>
      <x:c r="P60" s="55" t="str">
        <x:v>Score can improve after evidence-supported implementation and monitoring.</x:v>
      </x:c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5" t="str">
        <x:v>ACT-A1.3</x:v>
      </x:c>
      <x:c r="B61" s="55" t="str">
        <x:v>A1.3</x:v>
      </x:c>
      <x:c r="C61" s="55" t="str">
        <x:v>Data accuracy and quality</x:v>
      </x:c>
      <x:c r="D61" s="55" t="str">
        <x:f>IF(Responses!$J61="","N/A",IF(Responses!$J61&lt;=3,"Yes","No"))</x:f>
        <x:v>Yes</x:v>
      </x:c>
      <x:c r="E61" s="55" t="str">
        <x:v>Review and remediate: Are validation controls used in forms and systems?</x:v>
      </x:c>
      <x:c r="F61" s="55" t="str">
        <x:f>Responses!$K61</x:f>
        <x:v>Medium</x:v>
      </x:c>
      <x:c r="G61" s="55" t="str">
        <x:f>Responses!$L61</x:f>
        <x:v>P2</x:v>
      </x:c>
      <x:c r="H61" s="55" t="str">
        <x:v>Data quality gap</x:v>
      </x:c>
      <x:c r="I61" s="55" t="str">
        <x:v>Implement validation rules on forms and systems.</x:v>
      </x:c>
      <x:c r="J61" s="55" t="str">
        <x:v>Data Owners + IT</x:v>
      </x:c>
      <x:c r="K61" s="55" t="str">
        <x:v>Data Discovery Lead</x:v>
      </x:c>
      <x:c r="L61" s="55" t="str">
        <x:v>Data Quality Register</x:v>
      </x:c>
      <x:c r="M61" s="55" t="n">
        <x:v>60</x:v>
      </x:c>
      <x:c r="N61" s="55" t="str">
        <x:v>Open</x:v>
      </x:c>
      <x:c r="O61" s="55" t="str">
        <x:v>Validation screenshots / rules</x:v>
      </x:c>
      <x:c r="P61" s="55" t="str">
        <x:v>Score can improve after evidence-supported implementation and monitoring.</x:v>
      </x:c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5" t="str">
        <x:v>ACT-A1.4</x:v>
      </x:c>
      <x:c r="B62" s="55" t="str">
        <x:v>A1.4</x:v>
      </x:c>
      <x:c r="C62" s="55" t="str">
        <x:v>Data accuracy and quality</x:v>
      </x:c>
      <x:c r="D62" s="55" t="str">
        <x:f>IF(Responses!$J62="","N/A",IF(Responses!$J62&lt;=3,"Yes","No"))</x:f>
        <x:v>Yes</x:v>
      </x:c>
      <x:c r="E62" s="55" t="str">
        <x:v>Review and remediate: Are correction requests reflected across downstream systems and vendors?</x:v>
      </x:c>
      <x:c r="F62" s="55" t="str">
        <x:f>Responses!$K62</x:f>
        <x:v>Medium</x:v>
      </x:c>
      <x:c r="G62" s="55" t="str">
        <x:f>Responses!$L62</x:f>
        <x:v>P2</x:v>
      </x:c>
      <x:c r="H62" s="55" t="str">
        <x:v>Data quality gap</x:v>
      </x:c>
      <x:c r="I62" s="55" t="str">
        <x:v>Define downstream propagation controls.</x:v>
      </x:c>
      <x:c r="J62" s="55" t="str">
        <x:v>Data Owners + IT</x:v>
      </x:c>
      <x:c r="K62" s="55" t="str">
        <x:v>Data Discovery Lead</x:v>
      </x:c>
      <x:c r="L62" s="55" t="str">
        <x:v>Data Quality Register</x:v>
      </x:c>
      <x:c r="M62" s="55" t="n">
        <x:v>60</x:v>
      </x:c>
      <x:c r="N62" s="55" t="str">
        <x:v>Open</x:v>
      </x:c>
      <x:c r="O62" s="55" t="str">
        <x:v>Correction propagation workflow</x:v>
      </x:c>
      <x:c r="P62" s="55" t="str">
        <x:v>Score can improve after evidence-supported implementation and monitoring.</x:v>
      </x:c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5" t="str">
        <x:v>ACT-A1.5</x:v>
      </x:c>
      <x:c r="B63" s="55" t="str">
        <x:v>A1.5</x:v>
      </x:c>
      <x:c r="C63" s="55" t="str">
        <x:v>Data accuracy and quality</x:v>
      </x:c>
      <x:c r="D63" s="55" t="str">
        <x:f>IF(Responses!$J63="","N/A",IF(Responses!$J63&lt;=3,"Yes","No"))</x:f>
        <x:v>Yes</x:v>
      </x:c>
      <x:c r="E63" s="55" t="str">
        <x:v>Review and remediate: Are data quality issues tracked and corrected periodically?</x:v>
      </x:c>
      <x:c r="F63" s="55" t="str">
        <x:f>Responses!$K63</x:f>
        <x:v>Medium</x:v>
      </x:c>
      <x:c r="G63" s="55" t="str">
        <x:f>Responses!$L63</x:f>
        <x:v>P2</x:v>
      </x:c>
      <x:c r="H63" s="55" t="str">
        <x:v>Data quality gap</x:v>
      </x:c>
      <x:c r="I63" s="55" t="str">
        <x:v>Run periodic data quality checks.</x:v>
      </x:c>
      <x:c r="J63" s="55" t="str">
        <x:v>Data Owners + IT</x:v>
      </x:c>
      <x:c r="K63" s="55" t="str">
        <x:v>Data Discovery Lead</x:v>
      </x:c>
      <x:c r="L63" s="55" t="str">
        <x:v>Data Quality Register</x:v>
      </x:c>
      <x:c r="M63" s="55" t="n">
        <x:v>60</x:v>
      </x:c>
      <x:c r="N63" s="55" t="str">
        <x:v>Open</x:v>
      </x:c>
      <x:c r="O63" s="55" t="str">
        <x:v>Data quality reports</x:v>
      </x:c>
      <x:c r="P63" s="55" t="str">
        <x:v>Score can improve after evidence-supported implementation and monitoring.</x:v>
      </x:c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5" t="str">
        <x:v>ACT-S1.1</x:v>
      </x:c>
      <x:c r="B64" s="55" t="str">
        <x:v>S1.1</x:v>
      </x:c>
      <x:c r="C64" s="55" t="str">
        <x:v>Security safeguards</x:v>
      </x:c>
      <x:c r="D64" s="55" t="str">
        <x:f>IF(Responses!$J64="","N/A",IF(Responses!$J64&lt;=3,"Yes","No"))</x:f>
        <x:v>Yes</x:v>
      </x:c>
      <x:c r="E64" s="55" t="str">
        <x:v>Review and remediate: Is personal data protected using encryption, masking, obfuscation or tokenisation where appropriate?</x:v>
      </x:c>
      <x:c r="F64" s="55" t="str">
        <x:f>Responses!$K64</x:f>
        <x:v>Medium</x:v>
      </x:c>
      <x:c r="G64" s="55" t="str">
        <x:f>Responses!$L64</x:f>
        <x:v>P2</x:v>
      </x:c>
      <x:c r="H64" s="55" t="str">
        <x:v>Security gap</x:v>
      </x:c>
      <x:c r="I64" s="55" t="str">
        <x:v>Implement risk-based encryption, masking, tokenisation or obfuscation.</x:v>
      </x:c>
      <x:c r="J64" s="55" t="str">
        <x:v>IT / CISO / Security</x:v>
      </x:c>
      <x:c r="K64" s="55" t="str">
        <x:v>Cybersecurity Consultant</x:v>
      </x:c>
      <x:c r="L64" s="55" t="str">
        <x:v>Security Evidence Repository</x:v>
      </x:c>
      <x:c r="M64" s="55" t="n">
        <x:v>30</x:v>
      </x:c>
      <x:c r="N64" s="55" t="str">
        <x:v>Open</x:v>
      </x:c>
      <x:c r="O64" s="55" t="str">
        <x:v>Architecture proof / screenshots</x:v>
      </x:c>
      <x:c r="P64" s="55" t="str">
        <x:v>Score can improve after evidence-supported implementation and monitoring.</x:v>
      </x:c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5" t="str">
        <x:v>ACT-S1.2</x:v>
      </x:c>
      <x:c r="B65" s="55" t="str">
        <x:v>S1.2</x:v>
      </x:c>
      <x:c r="C65" s="55" t="str">
        <x:v>Security safeguards</x:v>
      </x:c>
      <x:c r="D65" s="55" t="str">
        <x:f>IF(Responses!$J65="","N/A",IF(Responses!$J65&lt;=3,"Yes","No"))</x:f>
        <x:v>Yes</x:v>
      </x:c>
      <x:c r="E65" s="55" t="str">
        <x:v>Review and remediate: Are role-based access controls implemented for systems containing personal data?</x:v>
      </x:c>
      <x:c r="F65" s="55" t="str">
        <x:f>Responses!$K65</x:f>
        <x:v>Medium</x:v>
      </x:c>
      <x:c r="G65" s="55" t="str">
        <x:f>Responses!$L65</x:f>
        <x:v>P2</x:v>
      </x:c>
      <x:c r="H65" s="55" t="str">
        <x:v>Security gap</x:v>
      </x:c>
      <x:c r="I65" s="55" t="str">
        <x:v>Implement RBAC for all critical systems.</x:v>
      </x:c>
      <x:c r="J65" s="55" t="str">
        <x:v>IT / CISO / Security</x:v>
      </x:c>
      <x:c r="K65" s="55" t="str">
        <x:v>Cybersecurity Consultant</x:v>
      </x:c>
      <x:c r="L65" s="55" t="str">
        <x:v>Security Evidence Repository</x:v>
      </x:c>
      <x:c r="M65" s="55" t="n">
        <x:v>30</x:v>
      </x:c>
      <x:c r="N65" s="55" t="str">
        <x:v>Open</x:v>
      </x:c>
      <x:c r="O65" s="55" t="str">
        <x:v>RBAC matrix</x:v>
      </x:c>
      <x:c r="P65" s="55" t="str">
        <x:v>Score can improve after evidence-supported implementation and monitoring.</x:v>
      </x:c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5" t="str">
        <x:v>ACT-S1.3</x:v>
      </x:c>
      <x:c r="B66" s="55" t="str">
        <x:v>S1.3</x:v>
      </x:c>
      <x:c r="C66" s="55" t="str">
        <x:v>Security safeguards</x:v>
      </x:c>
      <x:c r="D66" s="55" t="str">
        <x:f>IF(Responses!$J66="","N/A",IF(Responses!$J66&lt;=3,"Yes","No"))</x:f>
        <x:v>Yes</x:v>
      </x:c>
      <x:c r="E66" s="55" t="str">
        <x:v>Review and remediate: Are access logs maintained for viewing, editing, downloading, exporting and deleting personal data?</x:v>
      </x:c>
      <x:c r="F66" s="55" t="str">
        <x:f>Responses!$K66</x:f>
        <x:v>Medium</x:v>
      </x:c>
      <x:c r="G66" s="55" t="str">
        <x:f>Responses!$L66</x:f>
        <x:v>P2</x:v>
      </x:c>
      <x:c r="H66" s="55" t="str">
        <x:v>Security gap</x:v>
      </x:c>
      <x:c r="I66" s="55" t="str">
        <x:v>Enable and retain access/activity logs.</x:v>
      </x:c>
      <x:c r="J66" s="55" t="str">
        <x:v>IT / CISO / Security</x:v>
      </x:c>
      <x:c r="K66" s="55" t="str">
        <x:v>Cybersecurity Consultant</x:v>
      </x:c>
      <x:c r="L66" s="55" t="str">
        <x:v>Security Evidence Repository</x:v>
      </x:c>
      <x:c r="M66" s="55" t="n">
        <x:v>30</x:v>
      </x:c>
      <x:c r="N66" s="55" t="str">
        <x:v>Open</x:v>
      </x:c>
      <x:c r="O66" s="55" t="str">
        <x:v>Log samples</x:v>
      </x:c>
      <x:c r="P66" s="55" t="str">
        <x:v>Score can improve after evidence-supported implementation and monitoring.</x:v>
      </x:c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5" t="str">
        <x:v>ACT-S1.4</x:v>
      </x:c>
      <x:c r="B67" s="55" t="str">
        <x:v>S1.4</x:v>
      </x:c>
      <x:c r="C67" s="55" t="str">
        <x:v>Security safeguards</x:v>
      </x:c>
      <x:c r="D67" s="55" t="str">
        <x:f>IF(Responses!$J67="","N/A",IF(Responses!$J67&lt;=3,"Yes","No"))</x:f>
        <x:v>Yes</x:v>
      </x:c>
      <x:c r="E67" s="55" t="str">
        <x:v>Review and remediate: Are logs monitored and reviewed to detect unauthorised access?</x:v>
      </x:c>
      <x:c r="F67" s="55" t="str">
        <x:f>Responses!$K67</x:f>
        <x:v>Medium</x:v>
      </x:c>
      <x:c r="G67" s="55" t="str">
        <x:f>Responses!$L67</x:f>
        <x:v>P2</x:v>
      </x:c>
      <x:c r="H67" s="55" t="str">
        <x:v>Security gap</x:v>
      </x:c>
      <x:c r="I67" s="55" t="str">
        <x:v>Implement monitoring and periodic log reviews.</x:v>
      </x:c>
      <x:c r="J67" s="55" t="str">
        <x:v>IT / CISO / Security</x:v>
      </x:c>
      <x:c r="K67" s="55" t="str">
        <x:v>Cybersecurity Consultant</x:v>
      </x:c>
      <x:c r="L67" s="55" t="str">
        <x:v>Security Evidence Repository</x:v>
      </x:c>
      <x:c r="M67" s="55" t="n">
        <x:v>30</x:v>
      </x:c>
      <x:c r="N67" s="55" t="str">
        <x:v>Open</x:v>
      </x:c>
      <x:c r="O67" s="55" t="str">
        <x:v>Monitoring reports</x:v>
      </x:c>
      <x:c r="P67" s="55" t="str">
        <x:v>Score can improve after evidence-supported implementation and monitoring.</x:v>
      </x:c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5" t="str">
        <x:v>ACT-S1.5</x:v>
      </x:c>
      <x:c r="B68" s="55" t="str">
        <x:v>S1.5</x:v>
      </x:c>
      <x:c r="C68" s="55" t="str">
        <x:v>Security safeguards</x:v>
      </x:c>
      <x:c r="D68" s="55" t="str">
        <x:f>IF(Responses!$J68="","N/A",IF(Responses!$J68&lt;=3,"Yes","No"))</x:f>
        <x:v>Yes</x:v>
      </x:c>
      <x:c r="E68" s="55" t="str">
        <x:v>Review and remediate: Are backups maintained and tested for recovery?</x:v>
      </x:c>
      <x:c r="F68" s="55" t="str">
        <x:f>Responses!$K68</x:f>
        <x:v>Medium</x:v>
      </x:c>
      <x:c r="G68" s="55" t="str">
        <x:f>Responses!$L68</x:f>
        <x:v>P2</x:v>
      </x:c>
      <x:c r="H68" s="55" t="str">
        <x:v>Security gap</x:v>
      </x:c>
      <x:c r="I68" s="55" t="str">
        <x:v>Test backup and restore for critical systems.</x:v>
      </x:c>
      <x:c r="J68" s="55" t="str">
        <x:v>IT / CISO / Security</x:v>
      </x:c>
      <x:c r="K68" s="55" t="str">
        <x:v>Cybersecurity Consultant</x:v>
      </x:c>
      <x:c r="L68" s="55" t="str">
        <x:v>Security Evidence Repository</x:v>
      </x:c>
      <x:c r="M68" s="55" t="n">
        <x:v>30</x:v>
      </x:c>
      <x:c r="N68" s="55" t="str">
        <x:v>Open</x:v>
      </x:c>
      <x:c r="O68" s="55" t="str">
        <x:v>Backup and restore test evidence</x:v>
      </x:c>
      <x:c r="P68" s="55" t="str">
        <x:v>Score can improve after evidence-supported implementation and monitoring.</x:v>
      </x:c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5" t="str">
        <x:v>ACT-S1.6</x:v>
      </x:c>
      <x:c r="B69" s="55" t="str">
        <x:v>S1.6</x:v>
      </x:c>
      <x:c r="C69" s="55" t="str">
        <x:v>Security safeguards</x:v>
      </x:c>
      <x:c r="D69" s="55" t="str">
        <x:f>IF(Responses!$J69="","N/A",IF(Responses!$J69&lt;=3,"Yes","No"))</x:f>
        <x:v>Yes</x:v>
      </x:c>
      <x:c r="E69" s="55" t="str">
        <x:v>Review and remediate: Are admin, vendor, developer and privileged accesses reviewed periodically?</x:v>
      </x:c>
      <x:c r="F69" s="55" t="str">
        <x:f>Responses!$K69</x:f>
        <x:v>Medium</x:v>
      </x:c>
      <x:c r="G69" s="55" t="str">
        <x:f>Responses!$L69</x:f>
        <x:v>P2</x:v>
      </x:c>
      <x:c r="H69" s="55" t="str">
        <x:v>Security gap</x:v>
      </x:c>
      <x:c r="I69" s="55" t="str">
        <x:v>Run periodic privileged-access reviews.</x:v>
      </x:c>
      <x:c r="J69" s="55" t="str">
        <x:v>IT / CISO / Security</x:v>
      </x:c>
      <x:c r="K69" s="55" t="str">
        <x:v>Cybersecurity Consultant</x:v>
      </x:c>
      <x:c r="L69" s="55" t="str">
        <x:v>Security Evidence Repository</x:v>
      </x:c>
      <x:c r="M69" s="55" t="n">
        <x:v>30</x:v>
      </x:c>
      <x:c r="N69" s="55" t="str">
        <x:v>Open</x:v>
      </x:c>
      <x:c r="O69" s="55" t="str">
        <x:v>Access review report</x:v>
      </x:c>
      <x:c r="P69" s="55" t="str">
        <x:v>Score can improve after evidence-supported implementation and monitoring.</x:v>
      </x:c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5" t="str">
        <x:v>ACT-S1.7</x:v>
      </x:c>
      <x:c r="B70" s="55" t="str">
        <x:v>S1.7</x:v>
      </x:c>
      <x:c r="C70" s="55" t="str">
        <x:v>Security safeguards</x:v>
      </x:c>
      <x:c r="D70" s="55" t="str">
        <x:f>IF(Responses!$J70="","N/A",IF(Responses!$J70&lt;=3,"Yes","No"))</x:f>
        <x:v>Yes</x:v>
      </x:c>
      <x:c r="E70" s="55" t="str">
        <x:v>Review and remediate: Are test/development environments protected from unnecessary personal data exposure?</x:v>
      </x:c>
      <x:c r="F70" s="55" t="str">
        <x:f>Responses!$K70</x:f>
        <x:v>Medium</x:v>
      </x:c>
      <x:c r="G70" s="55" t="str">
        <x:f>Responses!$L70</x:f>
        <x:v>P2</x:v>
      </x:c>
      <x:c r="H70" s="55" t="str">
        <x:v>Security gap</x:v>
      </x:c>
      <x:c r="I70" s="55" t="str">
        <x:v>Use masked/synthetic data in lower environments.</x:v>
      </x:c>
      <x:c r="J70" s="55" t="str">
        <x:v>IT / CISO / Security</x:v>
      </x:c>
      <x:c r="K70" s="55" t="str">
        <x:v>Cybersecurity Consultant</x:v>
      </x:c>
      <x:c r="L70" s="55" t="str">
        <x:v>Security Evidence Repository</x:v>
      </x:c>
      <x:c r="M70" s="55" t="n">
        <x:v>30</x:v>
      </x:c>
      <x:c r="N70" s="55" t="str">
        <x:v>Open</x:v>
      </x:c>
      <x:c r="O70" s="55" t="str">
        <x:v>Test data policy / masking proof</x:v>
      </x:c>
      <x:c r="P70" s="55" t="str">
        <x:v>Score can improve after evidence-supported implementation and monitoring.</x:v>
      </x:c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5" t="str">
        <x:v>ACT-S1.8</x:v>
      </x:c>
      <x:c r="B71" s="55" t="str">
        <x:v>S1.8</x:v>
      </x:c>
      <x:c r="C71" s="55" t="str">
        <x:v>Security safeguards</x:v>
      </x:c>
      <x:c r="D71" s="55" t="str">
        <x:f>IF(Responses!$J71="","N/A",IF(Responses!$J71&lt;=3,"Yes","No"))</x:f>
        <x:v>Yes</x:v>
      </x:c>
      <x:c r="E71" s="55" t="str">
        <x:v>Review and remediate: Are security safeguards contractually required for processors/vendors?</x:v>
      </x:c>
      <x:c r="F71" s="55" t="str">
        <x:f>Responses!$K71</x:f>
        <x:v>Medium</x:v>
      </x:c>
      <x:c r="G71" s="55" t="str">
        <x:f>Responses!$L71</x:f>
        <x:v>P2</x:v>
      </x:c>
      <x:c r="H71" s="55" t="str">
        <x:v>Security gap</x:v>
      </x:c>
      <x:c r="I71" s="55" t="str">
        <x:v>Add processor security safeguards to contracts.</x:v>
      </x:c>
      <x:c r="J71" s="55" t="str">
        <x:v>IT / CISO / Security</x:v>
      </x:c>
      <x:c r="K71" s="55" t="str">
        <x:v>Cybersecurity Consultant</x:v>
      </x:c>
      <x:c r="L71" s="55" t="str">
        <x:v>Security Evidence Repository</x:v>
      </x:c>
      <x:c r="M71" s="55" t="n">
        <x:v>30</x:v>
      </x:c>
      <x:c r="N71" s="55" t="str">
        <x:v>Open</x:v>
      </x:c>
      <x:c r="O71" s="55" t="str">
        <x:v>Contract clauses / security addendum</x:v>
      </x:c>
      <x:c r="P71" s="55" t="str">
        <x:v>Score can improve after evidence-supported implementation and monitoring.</x:v>
      </x:c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5" t="str">
        <x:v>ACT-B1.1</x:v>
      </x:c>
      <x:c r="B72" s="55" t="str">
        <x:v>B1.1</x:v>
      </x:c>
      <x:c r="C72" s="55" t="str">
        <x:v>Personal data breach readiness</x:v>
      </x:c>
      <x:c r="D72" s="55" t="str">
        <x:f>IF(Responses!$J72="","N/A",IF(Responses!$J72&lt;=3,"Yes","No"))</x:f>
        <x:v>N/A</x:v>
      </x:c>
      <x:c r="E72" s="55" t="str">
        <x:v>Review and remediate: Does the organisation have a DPDP-specific personal data breach response playbook?</x:v>
      </x:c>
      <x:c r="F72" s="55" t="str">
        <x:f>Responses!$K72</x:f>
        <x:v>Critical</x:v>
      </x:c>
      <x:c r="G72" s="55" t="str">
        <x:f>Responses!$L72</x:f>
        <x:v>P0</x:v>
      </x:c>
      <x:c r="H72" s="55" t="str">
        <x:v>Breach readiness gap</x:v>
      </x:c>
      <x:c r="I72" s="55" t="str">
        <x:v>Create DPDP-specific breach playbook.</x:v>
      </x:c>
      <x:c r="J72" s="55" t="str">
        <x:v>IT/Security + Legal</x:v>
      </x:c>
      <x:c r="K72" s="55" t="str">
        <x:v>Cybersecurity Consultant + DPDP Advisory Lead</x:v>
      </x:c>
      <x:c r="L72" s="55" t="str">
        <x:v>Breach Response Workflow</x:v>
      </x:c>
      <x:c r="M72" s="55" t="n">
        <x:v>30</x:v>
      </x:c>
      <x:c r="N72" s="55" t="str">
        <x:v>Open</x:v>
      </x:c>
      <x:c r="O72" s="55" t="str">
        <x:v>Breach response playbook</x:v>
      </x:c>
      <x:c r="P72" s="55" t="str">
        <x:v>Score can improve after evidence-supported implementation and monitoring.</x:v>
      </x:c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5" t="str">
        <x:v>ACT-B1.2</x:v>
      </x:c>
      <x:c r="B73" s="55" t="str">
        <x:v>B1.2</x:v>
      </x:c>
      <x:c r="C73" s="55" t="str">
        <x:v>Personal data breach readiness</x:v>
      </x:c>
      <x:c r="D73" s="55" t="str">
        <x:f>IF(Responses!$J73="","N/A",IF(Responses!$J73&lt;=3,"Yes","No"))</x:f>
        <x:v>Yes</x:v>
      </x:c>
      <x:c r="E73" s="55" t="str">
        <x:v>Review and remediate: Can the organisation detect unauthorised access, accidental disclosure, data loss or leakage?</x:v>
      </x:c>
      <x:c r="F73" s="55" t="str">
        <x:f>Responses!$K73</x:f>
        <x:v>High</x:v>
      </x:c>
      <x:c r="G73" s="55" t="str">
        <x:f>Responses!$L73</x:f>
        <x:v>P1</x:v>
      </x:c>
      <x:c r="H73" s="55" t="str">
        <x:v>Breach readiness gap</x:v>
      </x:c>
      <x:c r="I73" s="55" t="str">
        <x:v>Strengthen detection of personal-data breach events.</x:v>
      </x:c>
      <x:c r="J73" s="55" t="str">
        <x:v>IT/Security + Legal</x:v>
      </x:c>
      <x:c r="K73" s="55" t="str">
        <x:v>Cybersecurity Consultant + DPDP Advisory Lead</x:v>
      </x:c>
      <x:c r="L73" s="55" t="str">
        <x:v>Breach Response Workflow</x:v>
      </x:c>
      <x:c r="M73" s="55" t="n">
        <x:v>30</x:v>
      </x:c>
      <x:c r="N73" s="55" t="str">
        <x:v>Open</x:v>
      </x:c>
      <x:c r="O73" s="55" t="str">
        <x:v>Monitoring controls</x:v>
      </x:c>
      <x:c r="P73" s="55" t="str">
        <x:v>Score can improve after evidence-supported implementation and monitoring.</x:v>
      </x:c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5" t="str">
        <x:v>ACT-B1.3</x:v>
      </x:c>
      <x:c r="B74" s="55" t="str">
        <x:v>B1.3</x:v>
      </x:c>
      <x:c r="C74" s="55" t="str">
        <x:v>Personal data breach readiness</x:v>
      </x:c>
      <x:c r="D74" s="55" t="str">
        <x:f>IF(Responses!$J74="","N/A",IF(Responses!$J74&lt;=3,"Yes","No"))</x:f>
        <x:v>Yes</x:v>
      </x:c>
      <x:c r="E74" s="55" t="str">
        <x:v>Review and remediate: Is there a process to assess breach nature, extent, timing, affected persons and likely consequences?</x:v>
      </x:c>
      <x:c r="F74" s="55" t="str">
        <x:f>Responses!$K74</x:f>
        <x:v>High</x:v>
      </x:c>
      <x:c r="G74" s="55" t="str">
        <x:f>Responses!$L74</x:f>
        <x:v>P1</x:v>
      </x:c>
      <x:c r="H74" s="55" t="str">
        <x:v>Breach readiness gap</x:v>
      </x:c>
      <x:c r="I74" s="55" t="str">
        <x:v>Create breach triage and impact assessment template.</x:v>
      </x:c>
      <x:c r="J74" s="55" t="str">
        <x:v>IT/Security + Legal</x:v>
      </x:c>
      <x:c r="K74" s="55" t="str">
        <x:v>Cybersecurity Consultant + DPDP Advisory Lead</x:v>
      </x:c>
      <x:c r="L74" s="55" t="str">
        <x:v>Breach Response Workflow</x:v>
      </x:c>
      <x:c r="M74" s="55" t="n">
        <x:v>30</x:v>
      </x:c>
      <x:c r="N74" s="55" t="str">
        <x:v>Open</x:v>
      </x:c>
      <x:c r="O74" s="55" t="str">
        <x:v>Incident assessment template</x:v>
      </x:c>
      <x:c r="P74" s="55" t="str">
        <x:v>Score can improve after evidence-supported implementation and monitoring.</x:v>
      </x:c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5" t="str">
        <x:v>ACT-B1.4</x:v>
      </x:c>
      <x:c r="B75" s="55" t="str">
        <x:v>B1.4</x:v>
      </x:c>
      <x:c r="C75" s="55" t="str">
        <x:v>Personal data breach readiness</x:v>
      </x:c>
      <x:c r="D75" s="55" t="str">
        <x:f>IF(Responses!$J75="","N/A",IF(Responses!$J75&lt;=3,"Yes","No"))</x:f>
        <x:v>Yes</x:v>
      </x:c>
      <x:c r="E75" s="55" t="str">
        <x:v>Review and remediate: Are templates ready for notifying affected Data Principals in clear and plain language?</x:v>
      </x:c>
      <x:c r="F75" s="55" t="str">
        <x:f>Responses!$K75</x:f>
        <x:v>High</x:v>
      </x:c>
      <x:c r="G75" s="55" t="str">
        <x:f>Responses!$L75</x:f>
        <x:v>P1</x:v>
      </x:c>
      <x:c r="H75" s="55" t="str">
        <x:v>Breach readiness gap</x:v>
      </x:c>
      <x:c r="I75" s="55" t="str">
        <x:v>Prepare affected Data Principal notification template.</x:v>
      </x:c>
      <x:c r="J75" s="55" t="str">
        <x:v>IT/Security + Legal</x:v>
      </x:c>
      <x:c r="K75" s="55" t="str">
        <x:v>Cybersecurity Consultant + DPDP Advisory Lead</x:v>
      </x:c>
      <x:c r="L75" s="55" t="str">
        <x:v>Breach Response Workflow</x:v>
      </x:c>
      <x:c r="M75" s="55" t="n">
        <x:v>30</x:v>
      </x:c>
      <x:c r="N75" s="55" t="str">
        <x:v>Open</x:v>
      </x:c>
      <x:c r="O75" s="55" t="str">
        <x:v>Notification template</x:v>
      </x:c>
      <x:c r="P75" s="55" t="str">
        <x:v>Score can improve after evidence-supported implementation and monitoring.</x:v>
      </x:c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5" t="str">
        <x:v>ACT-B1.5</x:v>
      </x:c>
      <x:c r="B76" s="55" t="str">
        <x:v>B1.5</x:v>
      </x:c>
      <x:c r="C76" s="55" t="str">
        <x:v>Personal data breach readiness</x:v>
      </x:c>
      <x:c r="D76" s="55" t="str">
        <x:f>IF(Responses!$J76="","N/A",IF(Responses!$J76&lt;=3,"Yes","No"))</x:f>
        <x:v>N/A</x:v>
      </x:c>
      <x:c r="E76" s="55" t="str">
        <x:v>Review and remediate: Are templates and responsibility owners defined for Board intimation and 72-hour detailed reporting?</x:v>
      </x:c>
      <x:c r="F76" s="55" t="str">
        <x:f>Responses!$K76</x:f>
        <x:v>Critical</x:v>
      </x:c>
      <x:c r="G76" s="55" t="str">
        <x:f>Responses!$L76</x:f>
        <x:v>P0</x:v>
      </x:c>
      <x:c r="H76" s="55" t="str">
        <x:v>Breach readiness gap</x:v>
      </x:c>
      <x:c r="I76" s="55" t="str">
        <x:v>Create Board intimation workflow and 72-hour tracker.</x:v>
      </x:c>
      <x:c r="J76" s="55" t="str">
        <x:v>IT/Security + Legal</x:v>
      </x:c>
      <x:c r="K76" s="55" t="str">
        <x:v>Cybersecurity Consultant + DPDP Advisory Lead</x:v>
      </x:c>
      <x:c r="L76" s="55" t="str">
        <x:v>Breach Response Workflow</x:v>
      </x:c>
      <x:c r="M76" s="55" t="n">
        <x:v>30</x:v>
      </x:c>
      <x:c r="N76" s="55" t="str">
        <x:v>Open</x:v>
      </x:c>
      <x:c r="O76" s="55" t="str">
        <x:v>Board intimation template / tracker</x:v>
      </x:c>
      <x:c r="P76" s="55" t="str">
        <x:v>Score can improve after evidence-supported implementation and monitoring.</x:v>
      </x:c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5" t="str">
        <x:v>ACT-B1.6</x:v>
      </x:c>
      <x:c r="B77" s="55" t="str">
        <x:v>B1.6</x:v>
      </x:c>
      <x:c r="C77" s="55" t="str">
        <x:v>Personal data breach readiness</x:v>
      </x:c>
      <x:c r="D77" s="55" t="str">
        <x:f>IF(Responses!$J77="","N/A",IF(Responses!$J77&lt;=3,"Yes","No"))</x:f>
        <x:v>Yes</x:v>
      </x:c>
      <x:c r="E77" s="55" t="str">
        <x:v>Review and remediate: Has the organisation conducted at least one breach simulation or tabletop drill?</x:v>
      </x:c>
      <x:c r="F77" s="55" t="str">
        <x:f>Responses!$K77</x:f>
        <x:v>High</x:v>
      </x:c>
      <x:c r="G77" s="55" t="str">
        <x:f>Responses!$L77</x:f>
        <x:v>P1</x:v>
      </x:c>
      <x:c r="H77" s="55" t="str">
        <x:v>Breach readiness gap</x:v>
      </x:c>
      <x:c r="I77" s="55" t="str">
        <x:v>Conduct breach tabletop exercise and store evidence.</x:v>
      </x:c>
      <x:c r="J77" s="55" t="str">
        <x:v>IT/Security + Legal</x:v>
      </x:c>
      <x:c r="K77" s="55" t="str">
        <x:v>Cybersecurity Consultant + DPDP Advisory Lead</x:v>
      </x:c>
      <x:c r="L77" s="55" t="str">
        <x:v>Breach Response Workflow</x:v>
      </x:c>
      <x:c r="M77" s="55" t="n">
        <x:v>30</x:v>
      </x:c>
      <x:c r="N77" s="55" t="str">
        <x:v>Open</x:v>
      </x:c>
      <x:c r="O77" s="55" t="str">
        <x:v>Drill report</x:v>
      </x:c>
      <x:c r="P77" s="55" t="str">
        <x:v>Score can improve after evidence-supported implementation and monitoring.</x:v>
      </x:c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5" t="str">
        <x:v>ACT-V1.1</x:v>
      </x:c>
      <x:c r="B78" s="55" t="str">
        <x:v>V1.1</x:v>
      </x:c>
      <x:c r="C78" s="55" t="str">
        <x:v>Vendor / Data Processor governance</x:v>
      </x:c>
      <x:c r="D78" s="55" t="str">
        <x:f>IF(Responses!$J78="","N/A",IF(Responses!$J78&lt;=3,"Yes","No"))</x:f>
        <x:v>Yes</x:v>
      </x:c>
      <x:c r="E78" s="55" t="str">
        <x:v>Review and remediate: Has the organisation identified all Data Processors handling personal data?</x:v>
      </x:c>
      <x:c r="F78" s="55" t="str">
        <x:f>Responses!$K78</x:f>
        <x:v>High</x:v>
      </x:c>
      <x:c r="G78" s="55" t="str">
        <x:f>Responses!$L78</x:f>
        <x:v>P1</x:v>
      </x:c>
      <x:c r="H78" s="55" t="str">
        <x:v>Vendor/processor gap</x:v>
      </x:c>
      <x:c r="I78" s="55" t="str">
        <x:v>Create processor/vendor register.</x:v>
      </x:c>
      <x:c r="J78" s="55" t="str">
        <x:v>Procurement + Legal + IT</x:v>
      </x:c>
      <x:c r="K78" s="55" t="str">
        <x:v>Vendor Governance Consultant</x:v>
      </x:c>
      <x:c r="L78" s="55" t="str">
        <x:v>Vendor Governance Register</x:v>
      </x:c>
      <x:c r="M78" s="55" t="n">
        <x:v>60</x:v>
      </x:c>
      <x:c r="N78" s="55" t="str">
        <x:v>Open</x:v>
      </x:c>
      <x:c r="O78" s="55" t="str">
        <x:v>Vendor/processor register</x:v>
      </x:c>
      <x:c r="P78" s="55" t="str">
        <x:v>Score can improve after evidence-supported implementation and monitoring.</x:v>
      </x:c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5" t="str">
        <x:v>ACT-V1.2</x:v>
      </x:c>
      <x:c r="B79" s="55" t="str">
        <x:v>V1.2</x:v>
      </x:c>
      <x:c r="C79" s="55" t="str">
        <x:v>Vendor / Data Processor governance</x:v>
      </x:c>
      <x:c r="D79" s="55" t="str">
        <x:f>IF(Responses!$J79="","N/A",IF(Responses!$J79&lt;=3,"Yes","No"))</x:f>
        <x:v>N/A</x:v>
      </x:c>
      <x:c r="E79" s="55" t="str">
        <x:v>Review and remediate: Are valid contracts in place with all processors?</x:v>
      </x:c>
      <x:c r="F79" s="55" t="str">
        <x:f>Responses!$K79</x:f>
        <x:v>Critical</x:v>
      </x:c>
      <x:c r="G79" s="55" t="str">
        <x:f>Responses!$L79</x:f>
        <x:v>P0</x:v>
      </x:c>
      <x:c r="H79" s="55" t="str">
        <x:v>Vendor/processor gap</x:v>
      </x:c>
      <x:c r="I79" s="55" t="str">
        <x:v>Ensure valid contracts for all processors.</x:v>
      </x:c>
      <x:c r="J79" s="55" t="str">
        <x:v>Procurement + Legal + IT</x:v>
      </x:c>
      <x:c r="K79" s="55" t="str">
        <x:v>Vendor Governance Consultant</x:v>
      </x:c>
      <x:c r="L79" s="55" t="str">
        <x:v>Vendor Governance Register</x:v>
      </x:c>
      <x:c r="M79" s="55" t="n">
        <x:v>60</x:v>
      </x:c>
      <x:c r="N79" s="55" t="str">
        <x:v>Open</x:v>
      </x:c>
      <x:c r="O79" s="55" t="str">
        <x:v>Vendor contracts</x:v>
      </x:c>
      <x:c r="P79" s="55" t="str">
        <x:v>Score can improve after evidence-supported implementation and monitoring.</x:v>
      </x:c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5" t="str">
        <x:v>ACT-V1.3</x:v>
      </x:c>
      <x:c r="B80" s="55" t="str">
        <x:v>V1.3</x:v>
      </x:c>
      <x:c r="C80" s="55" t="str">
        <x:v>Vendor / Data Processor governance</x:v>
      </x:c>
      <x:c r="D80" s="55" t="str">
        <x:f>IF(Responses!$J80="","N/A",IF(Responses!$J80&lt;=3,"Yes","No"))</x:f>
        <x:v>Yes</x:v>
      </x:c>
      <x:c r="E80" s="55" t="str">
        <x:v>Review and remediate: Do contracts restrict processing to authorised purposes?</x:v>
      </x:c>
      <x:c r="F80" s="55" t="str">
        <x:f>Responses!$K80</x:f>
        <x:v>High</x:v>
      </x:c>
      <x:c r="G80" s="55" t="str">
        <x:f>Responses!$L80</x:f>
        <x:v>P1</x:v>
      </x:c>
      <x:c r="H80" s="55" t="str">
        <x:v>Vendor/processor gap</x:v>
      </x:c>
      <x:c r="I80" s="55" t="str">
        <x:v>Add purpose limitation to processor contracts.</x:v>
      </x:c>
      <x:c r="J80" s="55" t="str">
        <x:v>Procurement + Legal + IT</x:v>
      </x:c>
      <x:c r="K80" s="55" t="str">
        <x:v>Vendor Governance Consultant</x:v>
      </x:c>
      <x:c r="L80" s="55" t="str">
        <x:v>Vendor Governance Register</x:v>
      </x:c>
      <x:c r="M80" s="55" t="n">
        <x:v>60</x:v>
      </x:c>
      <x:c r="N80" s="55" t="str">
        <x:v>Open</x:v>
      </x:c>
      <x:c r="O80" s="55" t="str">
        <x:v>Contract clauses</x:v>
      </x:c>
      <x:c r="P80" s="55" t="str">
        <x:v>Score can improve after evidence-supported implementation and monitoring.</x:v>
      </x:c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5" t="str">
        <x:v>ACT-V1.4</x:v>
      </x:c>
      <x:c r="B81" s="55" t="str">
        <x:v>V1.4</x:v>
      </x:c>
      <x:c r="C81" s="55" t="str">
        <x:v>Vendor / Data Processor governance</x:v>
      </x:c>
      <x:c r="D81" s="55" t="str">
        <x:f>IF(Responses!$J81="","N/A",IF(Responses!$J81&lt;=3,"Yes","No"))</x:f>
        <x:v>Yes</x:v>
      </x:c>
      <x:c r="E81" s="55" t="str">
        <x:v>Review and remediate: Do contracts require reasonable security safeguards and breach reporting?</x:v>
      </x:c>
      <x:c r="F81" s="55" t="str">
        <x:f>Responses!$K81</x:f>
        <x:v>High</x:v>
      </x:c>
      <x:c r="G81" s="55" t="str">
        <x:f>Responses!$L81</x:f>
        <x:v>P1</x:v>
      </x:c>
      <x:c r="H81" s="55" t="str">
        <x:v>Vendor/processor gap</x:v>
      </x:c>
      <x:c r="I81" s="55" t="str">
        <x:v>Add security and breach clauses.</x:v>
      </x:c>
      <x:c r="J81" s="55" t="str">
        <x:v>Procurement + Legal + IT</x:v>
      </x:c>
      <x:c r="K81" s="55" t="str">
        <x:v>Vendor Governance Consultant</x:v>
      </x:c>
      <x:c r="L81" s="55" t="str">
        <x:v>Vendor Governance Register</x:v>
      </x:c>
      <x:c r="M81" s="55" t="n">
        <x:v>60</x:v>
      </x:c>
      <x:c r="N81" s="55" t="str">
        <x:v>Open</x:v>
      </x:c>
      <x:c r="O81" s="55" t="str">
        <x:v>DPDP/security addendum</x:v>
      </x:c>
      <x:c r="P81" s="55" t="str">
        <x:v>Score can improve after evidence-supported implementation and monitoring.</x:v>
      </x:c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5" t="str">
        <x:v>ACT-V1.5</x:v>
      </x:c>
      <x:c r="B82" s="55" t="str">
        <x:v>V1.5</x:v>
      </x:c>
      <x:c r="C82" s="55" t="str">
        <x:v>Vendor / Data Processor governance</x:v>
      </x:c>
      <x:c r="D82" s="55" t="str">
        <x:f>IF(Responses!$J82="","N/A",IF(Responses!$J82&lt;=3,"Yes","No"))</x:f>
        <x:v>Yes</x:v>
      </x:c>
      <x:c r="E82" s="55" t="str">
        <x:v>Review and remediate: Are sub-processors, cloud locations and cross-border transfers reviewed?</x:v>
      </x:c>
      <x:c r="F82" s="55" t="str">
        <x:f>Responses!$K82</x:f>
        <x:v>High</x:v>
      </x:c>
      <x:c r="G82" s="55" t="str">
        <x:f>Responses!$L82</x:f>
        <x:v>P1</x:v>
      </x:c>
      <x:c r="H82" s="55" t="str">
        <x:v>Vendor/processor gap</x:v>
      </x:c>
      <x:c r="I82" s="55" t="str">
        <x:v>Collect sub-processor and data-location details.</x:v>
      </x:c>
      <x:c r="J82" s="55" t="str">
        <x:v>Procurement + Legal + IT</x:v>
      </x:c>
      <x:c r="K82" s="55" t="str">
        <x:v>Vendor Governance Consultant</x:v>
      </x:c>
      <x:c r="L82" s="55" t="str">
        <x:v>Vendor Governance Register</x:v>
      </x:c>
      <x:c r="M82" s="55" t="n">
        <x:v>60</x:v>
      </x:c>
      <x:c r="N82" s="55" t="str">
        <x:v>Open</x:v>
      </x:c>
      <x:c r="O82" s="55" t="str">
        <x:v>Vendor questionnaire / location map</x:v>
      </x:c>
      <x:c r="P82" s="55" t="str">
        <x:v>Score can improve after evidence-supported implementation and monitoring.</x:v>
      </x:c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5" t="str">
        <x:v>ACT-V1.6</x:v>
      </x:c>
      <x:c r="B83" s="55" t="str">
        <x:v>V1.6</x:v>
      </x:c>
      <x:c r="C83" s="55" t="str">
        <x:v>Vendor / Data Processor governance</x:v>
      </x:c>
      <x:c r="D83" s="55" t="str">
        <x:f>IF(Responses!$J83="","N/A",IF(Responses!$J83&lt;=3,"Yes","No"))</x:f>
        <x:v>Yes</x:v>
      </x:c>
      <x:c r="E83" s="55" t="str">
        <x:v>Review and remediate: Is there a process to review vendor DPDP readiness periodically?</x:v>
      </x:c>
      <x:c r="F83" s="55" t="str">
        <x:f>Responses!$K83</x:f>
        <x:v>High</x:v>
      </x:c>
      <x:c r="G83" s="55" t="str">
        <x:f>Responses!$L83</x:f>
        <x:v>P1</x:v>
      </x:c>
      <x:c r="H83" s="55" t="str">
        <x:v>Vendor/processor gap</x:v>
      </x:c>
      <x:c r="I83" s="55" t="str">
        <x:v>Create vendor DPDP review cadence.</x:v>
      </x:c>
      <x:c r="J83" s="55" t="str">
        <x:v>Procurement + Legal + IT</x:v>
      </x:c>
      <x:c r="K83" s="55" t="str">
        <x:v>Vendor Governance Consultant</x:v>
      </x:c>
      <x:c r="L83" s="55" t="str">
        <x:v>Vendor Governance Register</x:v>
      </x:c>
      <x:c r="M83" s="55" t="n">
        <x:v>60</x:v>
      </x:c>
      <x:c r="N83" s="55" t="str">
        <x:v>Open</x:v>
      </x:c>
      <x:c r="O83" s="55" t="str">
        <x:v>Vendor review records</x:v>
      </x:c>
      <x:c r="P83" s="55" t="str">
        <x:v>Score can improve after evidence-supported implementation and monitoring.</x:v>
      </x:c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5" t="str">
        <x:v>ACT-CH1.1</x:v>
      </x:c>
      <x:c r="B84" s="55" t="str">
        <x:v>CH1.1</x:v>
      </x:c>
      <x:c r="C84" s="55" t="str">
        <x:v>Children’s data and guardian consent</x:v>
      </x:c>
      <x:c r="D84" s="55" t="str">
        <x:f>IF(Responses!$J84="","N/A",IF(Responses!$J84&lt;=3,"Yes","No"))</x:f>
        <x:v>Yes</x:v>
      </x:c>
      <x:c r="E84" s="55" t="str">
        <x:v>Review and remediate: Does the organisation process personal data of individuals below 18 years?</x:v>
      </x:c>
      <x:c r="F84" s="55" t="str">
        <x:f>Responses!$K84</x:f>
        <x:v>High</x:v>
      </x:c>
      <x:c r="G84" s="55" t="str">
        <x:f>Responses!$L84</x:f>
        <x:v>P1</x:v>
      </x:c>
      <x:c r="H84" s="55" t="str">
        <x:v>Children’s data gap</x:v>
      </x:c>
      <x:c r="I84" s="55" t="str">
        <x:v>Assess whether under-18 personal data is processed.</x:v>
      </x:c>
      <x:c r="J84" s="55" t="str">
        <x:v>Admissions + Legal + IT</x:v>
      </x:c>
      <x:c r="K84" s="55" t="str">
        <x:v>DPDP Advisory Lead</x:v>
      </x:c>
      <x:c r="L84" s="55" t="str">
        <x:v>Children’s Data Checklist</x:v>
      </x:c>
      <x:c r="M84" s="55" t="n">
        <x:v>60</x:v>
      </x:c>
      <x:c r="N84" s="55" t="str">
        <x:v>Open</x:v>
      </x:c>
      <x:c r="O84" s="55" t="str">
        <x:v>Age analysis</x:v>
      </x:c>
      <x:c r="P84" s="55" t="str">
        <x:v>Score can improve after evidence-supported implementation and monitoring.</x:v>
      </x:c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5" t="str">
        <x:v>ACT-CH1.2</x:v>
      </x:c>
      <x:c r="B85" s="55" t="str">
        <x:v>CH1.2</x:v>
      </x:c>
      <x:c r="C85" s="55" t="str">
        <x:v>Children’s data and guardian consent</x:v>
      </x:c>
      <x:c r="D85" s="55" t="str">
        <x:f>IF(Responses!$J85="","N/A",IF(Responses!$J85&lt;=3,"Yes","No"))</x:f>
        <x:v>Yes</x:v>
      </x:c>
      <x:c r="E85" s="55" t="str">
        <x:v>Review and remediate: Is there an age-identification or age-declaration mechanism where relevant?</x:v>
      </x:c>
      <x:c r="F85" s="55" t="str">
        <x:f>Responses!$K85</x:f>
        <x:v>High</x:v>
      </x:c>
      <x:c r="G85" s="55" t="str">
        <x:f>Responses!$L85</x:f>
        <x:v>P1</x:v>
      </x:c>
      <x:c r="H85" s="55" t="str">
        <x:v>Children’s data gap</x:v>
      </x:c>
      <x:c r="I85" s="55" t="str">
        <x:v>Implement age identification/declaration where relevant.</x:v>
      </x:c>
      <x:c r="J85" s="55" t="str">
        <x:v>Admissions + Legal + IT</x:v>
      </x:c>
      <x:c r="K85" s="55" t="str">
        <x:v>DPDP Advisory Lead</x:v>
      </x:c>
      <x:c r="L85" s="55" t="str">
        <x:v>Children’s Data Checklist</x:v>
      </x:c>
      <x:c r="M85" s="55" t="n">
        <x:v>60</x:v>
      </x:c>
      <x:c r="N85" s="55" t="str">
        <x:v>Open</x:v>
      </x:c>
      <x:c r="O85" s="55" t="str">
        <x:v>Age-gate/declaration screenshots</x:v>
      </x:c>
      <x:c r="P85" s="55" t="str">
        <x:v>Score can improve after evidence-supported implementation and monitoring.</x:v>
      </x:c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5" t="str">
        <x:v>ACT-CH1.3</x:v>
      </x:c>
      <x:c r="B86" s="55" t="str">
        <x:v>CH1.3</x:v>
      </x:c>
      <x:c r="C86" s="55" t="str">
        <x:v>Children’s data and guardian consent</x:v>
      </x:c>
      <x:c r="D86" s="55" t="str">
        <x:f>IF(Responses!$J86="","N/A",IF(Responses!$J86&lt;=3,"Yes","No"))</x:f>
        <x:v>N/A</x:v>
      </x:c>
      <x:c r="E86" s="55" t="str">
        <x:v>Review and remediate: Is verifiable parental/guardian consent obtained before processing children’s data where required?</x:v>
      </x:c>
      <x:c r="F86" s="55" t="str">
        <x:f>Responses!$K86</x:f>
        <x:v>Critical</x:v>
      </x:c>
      <x:c r="G86" s="55" t="str">
        <x:f>Responses!$L86</x:f>
        <x:v>P0</x:v>
      </x:c>
      <x:c r="H86" s="55" t="str">
        <x:v>Children’s data gap</x:v>
      </x:c>
      <x:c r="I86" s="55" t="str">
        <x:v>Implement verifiable parental/guardian consent workflow.</x:v>
      </x:c>
      <x:c r="J86" s="55" t="str">
        <x:v>Admissions + Legal + IT</x:v>
      </x:c>
      <x:c r="K86" s="55" t="str">
        <x:v>DPDP Advisory Lead</x:v>
      </x:c>
      <x:c r="L86" s="55" t="str">
        <x:v>Children’s Data Checklist</x:v>
      </x:c>
      <x:c r="M86" s="55" t="n">
        <x:v>60</x:v>
      </x:c>
      <x:c r="N86" s="55" t="str">
        <x:v>Open</x:v>
      </x:c>
      <x:c r="O86" s="55" t="str">
        <x:v>Parent/guardian consent logs</x:v>
      </x:c>
      <x:c r="P86" s="55" t="str">
        <x:v>Score can improve after evidence-supported implementation and monitoring.</x:v>
      </x:c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5" t="str">
        <x:v>ACT-CH1.4</x:v>
      </x:c>
      <x:c r="B87" s="55" t="str">
        <x:v>CH1.4</x:v>
      </x:c>
      <x:c r="C87" s="55" t="str">
        <x:v>Children’s data and guardian consent</x:v>
      </x:c>
      <x:c r="D87" s="55" t="str">
        <x:f>IF(Responses!$J87="","N/A",IF(Responses!$J87&lt;=3,"Yes","No"))</x:f>
        <x:v>N/A</x:v>
      </x:c>
      <x:c r="E87" s="55" t="str">
        <x:v>Review and remediate: Is children’s data protected from harmful processing, tracking, behavioural monitoring and targeted advertising?</x:v>
      </x:c>
      <x:c r="F87" s="55" t="str">
        <x:f>Responses!$K87</x:f>
        <x:v>Critical</x:v>
      </x:c>
      <x:c r="G87" s="55" t="str">
        <x:f>Responses!$L87</x:f>
        <x:v>P0</x:v>
      </x:c>
      <x:c r="H87" s="55" t="str">
        <x:v>Children’s data gap</x:v>
      </x:c>
      <x:c r="I87" s="55" t="str">
        <x:v>Stop or control prohibited/high-risk child-data processing.</x:v>
      </x:c>
      <x:c r="J87" s="55" t="str">
        <x:v>Admissions + Legal + IT</x:v>
      </x:c>
      <x:c r="K87" s="55" t="str">
        <x:v>DPDP Advisory Lead</x:v>
      </x:c>
      <x:c r="L87" s="55" t="str">
        <x:v>Children’s Data Checklist</x:v>
      </x:c>
      <x:c r="M87" s="55" t="n">
        <x:v>60</x:v>
      </x:c>
      <x:c r="N87" s="55" t="str">
        <x:v>Open</x:v>
      </x:c>
      <x:c r="O87" s="55" t="str">
        <x:v>Policy / system controls</x:v>
      </x:c>
      <x:c r="P87" s="55" t="str">
        <x:v>Score can improve after evidence-supported implementation and monitoring.</x:v>
      </x:c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5" t="str">
        <x:v>ACT-CH1.5</x:v>
      </x:c>
      <x:c r="B88" s="55" t="str">
        <x:v>CH1.5</x:v>
      </x:c>
      <x:c r="C88" s="55" t="str">
        <x:v>Children’s data and guardian consent</x:v>
      </x:c>
      <x:c r="D88" s="55" t="str">
        <x:f>IF(Responses!$J88="","N/A",IF(Responses!$J88&lt;=3,"Yes","No"))</x:f>
        <x:v>Yes</x:v>
      </x:c>
      <x:c r="E88" s="55" t="str">
        <x:v>Review and remediate: Are vendors processing children’s data subject to specific restrictions and safeguards?</x:v>
      </x:c>
      <x:c r="F88" s="55" t="str">
        <x:f>Responses!$K88</x:f>
        <x:v>High</x:v>
      </x:c>
      <x:c r="G88" s="55" t="str">
        <x:f>Responses!$L88</x:f>
        <x:v>P1</x:v>
      </x:c>
      <x:c r="H88" s="55" t="str">
        <x:v>Children’s data gap</x:v>
      </x:c>
      <x:c r="I88" s="55" t="str">
        <x:v>Add children’s-data restrictions and safeguards to vendors.</x:v>
      </x:c>
      <x:c r="J88" s="55" t="str">
        <x:v>Admissions + Legal + IT</x:v>
      </x:c>
      <x:c r="K88" s="55" t="str">
        <x:v>DPDP Advisory Lead</x:v>
      </x:c>
      <x:c r="L88" s="55" t="str">
        <x:v>Children’s Data Checklist</x:v>
      </x:c>
      <x:c r="M88" s="55" t="n">
        <x:v>60</x:v>
      </x:c>
      <x:c r="N88" s="55" t="str">
        <x:v>Open</x:v>
      </x:c>
      <x:c r="O88" s="55" t="str">
        <x:v>Vendor clauses</x:v>
      </x:c>
      <x:c r="P88" s="55" t="str">
        <x:v>Score can improve after evidence-supported implementation and monitoring.</x:v>
      </x:c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5" t="str">
        <x:v>ACT-CB1.1</x:v>
      </x:c>
      <x:c r="B89" s="55" t="str">
        <x:v>CB1.1</x:v>
      </x:c>
      <x:c r="C89" s="55" t="str">
        <x:v>Cross-border transfer and cloud/SaaS risk</x:v>
      </x:c>
      <x:c r="D89" s="55" t="str">
        <x:f>IF(Responses!$J89="","N/A",IF(Responses!$J89&lt;=3,"Yes","No"))</x:f>
        <x:v>Yes</x:v>
      </x:c>
      <x:c r="E89" s="55" t="str">
        <x:v>Review and remediate: Does the organisation know whether personal data is stored, accessed or processed outside India?</x:v>
      </x:c>
      <x:c r="F89" s="55" t="str">
        <x:f>Responses!$K89</x:f>
        <x:v>High</x:v>
      </x:c>
      <x:c r="G89" s="55" t="str">
        <x:f>Responses!$L89</x:f>
        <x:v>P1</x:v>
      </x:c>
      <x:c r="H89" s="55" t="str">
        <x:v>Cross-border/SaaS risk gap</x:v>
      </x:c>
      <x:c r="I89" s="55" t="str">
        <x:v>Map storage, access and processing locations.</x:v>
      </x:c>
      <x:c r="J89" s="55" t="str">
        <x:v>IT + Procurement + Legal</x:v>
      </x:c>
      <x:c r="K89" s="55" t="str">
        <x:v>Vendor Governance Consultant + IT</x:v>
      </x:c>
      <x:c r="L89" s="55" t="str">
        <x:v>Cross-Border Transfer Register</x:v>
      </x:c>
      <x:c r="M89" s="55" t="n">
        <x:v>60</x:v>
      </x:c>
      <x:c r="N89" s="55" t="str">
        <x:v>Open</x:v>
      </x:c>
      <x:c r="O89" s="55" t="str">
        <x:v>Cloud/SaaS location map</x:v>
      </x:c>
      <x:c r="P89" s="55" t="str">
        <x:v>Score can improve after evidence-supported implementation and monitoring.</x:v>
      </x:c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5" t="str">
        <x:v>ACT-CB1.2</x:v>
      </x:c>
      <x:c r="B90" s="55" t="str">
        <x:v>CB1.2</x:v>
      </x:c>
      <x:c r="C90" s="55" t="str">
        <x:v>Cross-border transfer and cloud/SaaS risk</x:v>
      </x:c>
      <x:c r="D90" s="55" t="str">
        <x:f>IF(Responses!$J90="","N/A",IF(Responses!$J90&lt;=3,"Yes","No"))</x:f>
        <x:v>Yes</x:v>
      </x:c>
      <x:c r="E90" s="55" t="str">
        <x:v>Review and remediate: Are foreign SaaS, cloud, email, analytics, CRM, LMS, AI or support vendors identified?</x:v>
      </x:c>
      <x:c r="F90" s="55" t="str">
        <x:f>Responses!$K90</x:f>
        <x:v>High</x:v>
      </x:c>
      <x:c r="G90" s="55" t="str">
        <x:f>Responses!$L90</x:f>
        <x:v>P1</x:v>
      </x:c>
      <x:c r="H90" s="55" t="str">
        <x:v>Cross-border/SaaS risk gap</x:v>
      </x:c>
      <x:c r="I90" s="55" t="str">
        <x:v>Identify foreign or remote-access vendors.</x:v>
      </x:c>
      <x:c r="J90" s="55" t="str">
        <x:v>IT + Procurement + Legal</x:v>
      </x:c>
      <x:c r="K90" s="55" t="str">
        <x:v>Vendor Governance Consultant + IT</x:v>
      </x:c>
      <x:c r="L90" s="55" t="str">
        <x:v>Cross-Border Transfer Register</x:v>
      </x:c>
      <x:c r="M90" s="55" t="n">
        <x:v>60</x:v>
      </x:c>
      <x:c r="N90" s="55" t="str">
        <x:v>Open</x:v>
      </x:c>
      <x:c r="O90" s="55" t="str">
        <x:v>Vendor location register</x:v>
      </x:c>
      <x:c r="P90" s="55" t="str">
        <x:v>Score can improve after evidence-supported implementation and monitoring.</x:v>
      </x:c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5" t="str">
        <x:v>ACT-CB1.3</x:v>
      </x:c>
      <x:c r="B91" s="55" t="str">
        <x:v>CB1.3</x:v>
      </x:c>
      <x:c r="C91" s="55" t="str">
        <x:v>Cross-border transfer and cloud/SaaS risk</x:v>
      </x:c>
      <x:c r="D91" s="55" t="str">
        <x:f>IF(Responses!$J91="","N/A",IF(Responses!$J91&lt;=3,"Yes","No"))</x:f>
        <x:v>Yes</x:v>
      </x:c>
      <x:c r="E91" s="55" t="str">
        <x:v>Review and remediate: Are contracts reviewed for data location, foreign access and transfer restrictions?</x:v>
      </x:c>
      <x:c r="F91" s="55" t="str">
        <x:f>Responses!$K91</x:f>
        <x:v>High</x:v>
      </x:c>
      <x:c r="G91" s="55" t="str">
        <x:f>Responses!$L91</x:f>
        <x:v>P1</x:v>
      </x:c>
      <x:c r="H91" s="55" t="str">
        <x:v>Cross-border/SaaS risk gap</x:v>
      </x:c>
      <x:c r="I91" s="55" t="str">
        <x:v>Review and update transfer/data-location clauses.</x:v>
      </x:c>
      <x:c r="J91" s="55" t="str">
        <x:v>IT + Procurement + Legal</x:v>
      </x:c>
      <x:c r="K91" s="55" t="str">
        <x:v>Vendor Governance Consultant + IT</x:v>
      </x:c>
      <x:c r="L91" s="55" t="str">
        <x:v>Cross-Border Transfer Register</x:v>
      </x:c>
      <x:c r="M91" s="55" t="n">
        <x:v>60</x:v>
      </x:c>
      <x:c r="N91" s="55" t="str">
        <x:v>Open</x:v>
      </x:c>
      <x:c r="O91" s="55" t="str">
        <x:v>Contract review record</x:v>
      </x:c>
      <x:c r="P91" s="55" t="str">
        <x:v>Score can improve after evidence-supported implementation and monitoring.</x:v>
      </x:c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5" t="str">
        <x:v>ACT-CB1.4</x:v>
      </x:c>
      <x:c r="B92" s="55" t="str">
        <x:v>CB1.4</x:v>
      </x:c>
      <x:c r="C92" s="55" t="str">
        <x:v>Cross-border transfer and cloud/SaaS risk</x:v>
      </x:c>
      <x:c r="D92" s="55" t="str">
        <x:f>IF(Responses!$J92="","N/A",IF(Responses!$J92&lt;=3,"Yes","No"))</x:f>
        <x:v>Yes</x:v>
      </x:c>
      <x:c r="E92" s="55" t="str">
        <x:v>Review and remediate: Are backups, logs and support access locations included in transfer assessment?</x:v>
      </x:c>
      <x:c r="F92" s="55" t="str">
        <x:f>Responses!$K92</x:f>
        <x:v>High</x:v>
      </x:c>
      <x:c r="G92" s="55" t="str">
        <x:f>Responses!$L92</x:f>
        <x:v>P1</x:v>
      </x:c>
      <x:c r="H92" s="55" t="str">
        <x:v>Cross-border/SaaS risk gap</x:v>
      </x:c>
      <x:c r="I92" s="55" t="str">
        <x:v>Include backups, logs and support locations in assessment.</x:v>
      </x:c>
      <x:c r="J92" s="55" t="str">
        <x:v>IT + Procurement + Legal</x:v>
      </x:c>
      <x:c r="K92" s="55" t="str">
        <x:v>Vendor Governance Consultant + IT</x:v>
      </x:c>
      <x:c r="L92" s="55" t="str">
        <x:v>Cross-Border Transfer Register</x:v>
      </x:c>
      <x:c r="M92" s="55" t="n">
        <x:v>60</x:v>
      </x:c>
      <x:c r="N92" s="55" t="str">
        <x:v>Open</x:v>
      </x:c>
      <x:c r="O92" s="55" t="str">
        <x:v>Architecture/support-access review</x:v>
      </x:c>
      <x:c r="P92" s="55" t="str">
        <x:v>Score can improve after evidence-supported implementation and monitoring.</x:v>
      </x:c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5" t="str">
        <x:v>ACT-CB1.5</x:v>
      </x:c>
      <x:c r="B93" s="55" t="str">
        <x:v>CB1.5</x:v>
      </x:c>
      <x:c r="C93" s="55" t="str">
        <x:v>Cross-border transfer and cloud/SaaS risk</x:v>
      </x:c>
      <x:c r="D93" s="55" t="str">
        <x:f>IF(Responses!$J93="","N/A",IF(Responses!$J93&lt;=3,"Yes","No"))</x:f>
        <x:v>Yes</x:v>
      </x:c>
      <x:c r="E93" s="55" t="str">
        <x:v>Review and remediate: Is there a process to respond to future Government transfer restrictions?</x:v>
      </x:c>
      <x:c r="F93" s="55" t="str">
        <x:f>Responses!$K93</x:f>
        <x:v>High</x:v>
      </x:c>
      <x:c r="G93" s="55" t="str">
        <x:f>Responses!$L93</x:f>
        <x:v>P1</x:v>
      </x:c>
      <x:c r="H93" s="55" t="str">
        <x:v>Cross-border/SaaS risk gap</x:v>
      </x:c>
      <x:c r="I93" s="55" t="str">
        <x:v>Create transfer-monitoring SOP.</x:v>
      </x:c>
      <x:c r="J93" s="55" t="str">
        <x:v>IT + Procurement + Legal</x:v>
      </x:c>
      <x:c r="K93" s="55" t="str">
        <x:v>Vendor Governance Consultant + IT</x:v>
      </x:c>
      <x:c r="L93" s="55" t="str">
        <x:v>Cross-Border Transfer Register</x:v>
      </x:c>
      <x:c r="M93" s="55" t="n">
        <x:v>60</x:v>
      </x:c>
      <x:c r="N93" s="55" t="str">
        <x:v>Open</x:v>
      </x:c>
      <x:c r="O93" s="55" t="str">
        <x:v>Cross-border transfer SOP</x:v>
      </x:c>
      <x:c r="P93" s="55" t="str">
        <x:v>Score can improve after evidence-supported implementation and monitoring.</x:v>
      </x:c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5" t="str">
        <x:v>ACT-SDF1.1</x:v>
      </x:c>
      <x:c r="B94" s="55" t="str">
        <x:v>SDF1.1</x:v>
      </x:c>
      <x:c r="C94" s="55" t="str">
        <x:v>SDF, DPIA, audit and AI/algorithmic risk readiness</x:v>
      </x:c>
      <x:c r="D94" s="55" t="str">
        <x:f>IF(Responses!$J94="","N/A",IF(Responses!$J94&lt;=3,"Yes","No"))</x:f>
        <x:v>Yes</x:v>
      </x:c>
      <x:c r="E94" s="55" t="str">
        <x:v>Review and remediate: Has the organisation assessed whether Significant Data Fiduciary obligations may become relevant?</x:v>
      </x:c>
      <x:c r="F94" s="55" t="str">
        <x:f>Responses!$K94</x:f>
        <x:v>High</x:v>
      </x:c>
      <x:c r="G94" s="55" t="str">
        <x:f>Responses!$L94</x:f>
        <x:v>P1</x:v>
      </x:c>
      <x:c r="H94" s="55" t="str">
        <x:v>AI/DPIA/SDF readiness gap</x:v>
      </x:c>
      <x:c r="I94" s="55" t="str">
        <x:v>Prepare SDF readiness note.</x:v>
      </x:c>
      <x:c r="J94" s="55" t="str">
        <x:v>Legal + AI Governance + IT</x:v>
      </x:c>
      <x:c r="K94" s="55" t="str">
        <x:v>AI Governance Consultant</x:v>
      </x:c>
      <x:c r="L94" s="55" t="str">
        <x:v>DPIA / AI Risk Register</x:v>
      </x:c>
      <x:c r="M94" s="55" t="n">
        <x:v>60</x:v>
      </x:c>
      <x:c r="N94" s="55" t="str">
        <x:v>Open</x:v>
      </x:c>
      <x:c r="O94" s="55" t="str">
        <x:v>SDF readiness note</x:v>
      </x:c>
      <x:c r="P94" s="55" t="str">
        <x:v>Score can improve after evidence-supported implementation and monitoring.</x:v>
      </x:c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5" t="str">
        <x:v>ACT-SDF1.2</x:v>
      </x:c>
      <x:c r="B95" s="55" t="str">
        <x:v>SDF1.2</x:v>
      </x:c>
      <x:c r="C95" s="55" t="str">
        <x:v>SDF, DPIA, audit and AI/algorithmic risk readiness</x:v>
      </x:c>
      <x:c r="D95" s="55" t="str">
        <x:f>IF(Responses!$J95="","N/A",IF(Responses!$J95&lt;=3,"Yes","No"))</x:f>
        <x:v>Yes</x:v>
      </x:c>
      <x:c r="E95" s="55" t="str">
        <x:v>Review and remediate: Is there a DPO-like or privacy leadership role even if formal SDF notification has not occurred?</x:v>
      </x:c>
      <x:c r="F95" s="55" t="str">
        <x:f>Responses!$K95</x:f>
        <x:v>High</x:v>
      </x:c>
      <x:c r="G95" s="55" t="str">
        <x:f>Responses!$L95</x:f>
        <x:v>P1</x:v>
      </x:c>
      <x:c r="H95" s="55" t="str">
        <x:v>AI/DPIA/SDF readiness gap</x:v>
      </x:c>
      <x:c r="I95" s="55" t="str">
        <x:v>Define privacy leadership role.</x:v>
      </x:c>
      <x:c r="J95" s="55" t="str">
        <x:v>Legal + AI Governance + IT</x:v>
      </x:c>
      <x:c r="K95" s="55" t="str">
        <x:v>AI Governance Consultant</x:v>
      </x:c>
      <x:c r="L95" s="55" t="str">
        <x:v>DPIA / AI Risk Register</x:v>
      </x:c>
      <x:c r="M95" s="55" t="n">
        <x:v>60</x:v>
      </x:c>
      <x:c r="N95" s="55" t="str">
        <x:v>Open</x:v>
      </x:c>
      <x:c r="O95" s="55" t="str">
        <x:v>Role charter</x:v>
      </x:c>
      <x:c r="P95" s="55" t="str">
        <x:v>Score can improve after evidence-supported implementation and monitoring.</x:v>
      </x:c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5" t="str">
        <x:v>ACT-SDF1.3</x:v>
      </x:c>
      <x:c r="B96" s="55" t="str">
        <x:v>SDF1.3</x:v>
      </x:c>
      <x:c r="C96" s="55" t="str">
        <x:v>SDF, DPIA, audit and AI/algorithmic risk readiness</x:v>
      </x:c>
      <x:c r="D96" s="55" t="str">
        <x:f>IF(Responses!$J96="","N/A",IF(Responses!$J96&lt;=3,"Yes","No"))</x:f>
        <x:v>Yes</x:v>
      </x:c>
      <x:c r="E96" s="55" t="str">
        <x:v>Review and remediate: Is the organisation prepared to conduct DPIA for high-risk processing?</x:v>
      </x:c>
      <x:c r="F96" s="55" t="str">
        <x:f>Responses!$K96</x:f>
        <x:v>High</x:v>
      </x:c>
      <x:c r="G96" s="55" t="str">
        <x:f>Responses!$L96</x:f>
        <x:v>P1</x:v>
      </x:c>
      <x:c r="H96" s="55" t="str">
        <x:v>AI/DPIA/SDF readiness gap</x:v>
      </x:c>
      <x:c r="I96" s="55" t="str">
        <x:v>Create DPIA template and trigger criteria.</x:v>
      </x:c>
      <x:c r="J96" s="55" t="str">
        <x:v>Legal + AI Governance + IT</x:v>
      </x:c>
      <x:c r="K96" s="55" t="str">
        <x:v>AI Governance Consultant</x:v>
      </x:c>
      <x:c r="L96" s="55" t="str">
        <x:v>DPIA / AI Risk Register</x:v>
      </x:c>
      <x:c r="M96" s="55" t="n">
        <x:v>60</x:v>
      </x:c>
      <x:c r="N96" s="55" t="str">
        <x:v>Open</x:v>
      </x:c>
      <x:c r="O96" s="55" t="str">
        <x:v>DPIA template</x:v>
      </x:c>
      <x:c r="P96" s="55" t="str">
        <x:v>Score can improve after evidence-supported implementation and monitoring.</x:v>
      </x:c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5" t="str">
        <x:v>ACT-SDF1.4</x:v>
      </x:c>
      <x:c r="B97" s="55" t="str">
        <x:v>SDF1.4</x:v>
      </x:c>
      <x:c r="C97" s="55" t="str">
        <x:v>SDF, DPIA, audit and AI/algorithmic risk readiness</x:v>
      </x:c>
      <x:c r="D97" s="55" t="str">
        <x:f>IF(Responses!$J97="","N/A",IF(Responses!$J97&lt;=3,"Yes","No"))</x:f>
        <x:v>Yes</x:v>
      </x:c>
      <x:c r="E97" s="55" t="str">
        <x:v>Review and remediate: Is there a process for periodic audit of DPDP controls?</x:v>
      </x:c>
      <x:c r="F97" s="55" t="str">
        <x:f>Responses!$K97</x:f>
        <x:v>High</x:v>
      </x:c>
      <x:c r="G97" s="55" t="str">
        <x:f>Responses!$L97</x:f>
        <x:v>P1</x:v>
      </x:c>
      <x:c r="H97" s="55" t="str">
        <x:v>AI/DPIA/SDF readiness gap</x:v>
      </x:c>
      <x:c r="I97" s="55" t="str">
        <x:v>Create DPDP audit/review plan.</x:v>
      </x:c>
      <x:c r="J97" s="55" t="str">
        <x:v>Legal + AI Governance + IT</x:v>
      </x:c>
      <x:c r="K97" s="55" t="str">
        <x:v>AI Governance Consultant</x:v>
      </x:c>
      <x:c r="L97" s="55" t="str">
        <x:v>DPIA / AI Risk Register</x:v>
      </x:c>
      <x:c r="M97" s="55" t="n">
        <x:v>60</x:v>
      </x:c>
      <x:c r="N97" s="55" t="str">
        <x:v>Open</x:v>
      </x:c>
      <x:c r="O97" s="55" t="str">
        <x:v>Audit plan</x:v>
      </x:c>
      <x:c r="P97" s="55" t="str">
        <x:v>Score can improve after evidence-supported implementation and monitoring.</x:v>
      </x:c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5" t="str">
        <x:v>ACT-SDF1.5</x:v>
      </x:c>
      <x:c r="B98" s="55" t="str">
        <x:v>SDF1.5</x:v>
      </x:c>
      <x:c r="C98" s="55" t="str">
        <x:v>SDF, DPIA, audit and AI/algorithmic risk readiness</x:v>
      </x:c>
      <x:c r="D98" s="55" t="str">
        <x:f>IF(Responses!$J98="","N/A",IF(Responses!$J98&lt;=3,"Yes","No"))</x:f>
        <x:v>Yes</x:v>
      </x:c>
      <x:c r="E98" s="55" t="str">
        <x:v>Review and remediate: Are AI systems, analytics tools, automated decision systems and algorithmic software reviewed for privacy risk?</x:v>
      </x:c>
      <x:c r="F98" s="55" t="str">
        <x:f>Responses!$K98</x:f>
        <x:v>High</x:v>
      </x:c>
      <x:c r="G98" s="55" t="str">
        <x:f>Responses!$L98</x:f>
        <x:v>P1</x:v>
      </x:c>
      <x:c r="H98" s="55" t="str">
        <x:v>AI/DPIA/SDF readiness gap</x:v>
      </x:c>
      <x:c r="I98" s="55" t="str">
        <x:v>Create AI system register and privacy risk review.</x:v>
      </x:c>
      <x:c r="J98" s="55" t="str">
        <x:v>Legal + AI Governance + IT</x:v>
      </x:c>
      <x:c r="K98" s="55" t="str">
        <x:v>AI Governance Consultant</x:v>
      </x:c>
      <x:c r="L98" s="55" t="str">
        <x:v>DPIA / AI Risk Register</x:v>
      </x:c>
      <x:c r="M98" s="55" t="n">
        <x:v>60</x:v>
      </x:c>
      <x:c r="N98" s="55" t="str">
        <x:v>Open</x:v>
      </x:c>
      <x:c r="O98" s="55" t="str">
        <x:v>AI system register</x:v>
      </x:c>
      <x:c r="P98" s="55" t="str">
        <x:v>Score can improve after evidence-supported implementation and monitoring.</x:v>
      </x:c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5" t="str">
        <x:v>ACT-SDF1.6</x:v>
      </x:c>
      <x:c r="B99" s="55" t="str">
        <x:v>SDF1.6</x:v>
      </x:c>
      <x:c r="C99" s="55" t="str">
        <x:v>SDF, DPIA, audit and AI/algorithmic risk readiness</x:v>
      </x:c>
      <x:c r="D99" s="55" t="str">
        <x:f>IF(Responses!$J99="","N/A",IF(Responses!$J99&lt;=3,"Yes","No"))</x:f>
        <x:v>Yes</x:v>
      </x:c>
      <x:c r="E99" s="55" t="str">
        <x:v>Review and remediate: Are high-impact automated decisions reviewed for fairness, explainability, accuracy and risk to Data Principal rights?</x:v>
      </x:c>
      <x:c r="F99" s="55" t="str">
        <x:f>Responses!$K99</x:f>
        <x:v>High</x:v>
      </x:c>
      <x:c r="G99" s="55" t="str">
        <x:f>Responses!$L99</x:f>
        <x:v>P1</x:v>
      </x:c>
      <x:c r="H99" s="55" t="str">
        <x:v>AI/DPIA/SDF readiness gap</x:v>
      </x:c>
      <x:c r="I99" s="55" t="str">
        <x:v>Review automated decisions for privacy and Data Principal risk.</x:v>
      </x:c>
      <x:c r="J99" s="55" t="str">
        <x:v>Legal + AI Governance + IT</x:v>
      </x:c>
      <x:c r="K99" s="55" t="str">
        <x:v>AI Governance Consultant</x:v>
      </x:c>
      <x:c r="L99" s="55" t="str">
        <x:v>DPIA / AI Risk Register</x:v>
      </x:c>
      <x:c r="M99" s="55" t="n">
        <x:v>60</x:v>
      </x:c>
      <x:c r="N99" s="55" t="str">
        <x:v>Open</x:v>
      </x:c>
      <x:c r="O99" s="55" t="str">
        <x:v>AI risk assessment</x:v>
      </x:c>
      <x:c r="P99" s="55" t="str">
        <x:v>Score can improve after evidence-supported implementation and monitoring.</x:v>
      </x:c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dataValidations count="1">
    <x:dataValidation type="list" sqref="N2:N99">
      <x:formula1>"Open,Assigned,In Progress,Evidence Submitted,Under Review,Closed,Reopened,Deferred,Not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6" hidden="0" customWidth="1"/>
    <x:col min="5" max="5" width="40" hidden="0" customWidth="1"/>
    <x:col min="6" max="6" width="28" hidden="0" customWidth="1"/>
    <x:col min="7" max="7" width="16" hidden="0" customWidth="1"/>
    <x:col min="8" max="8" width="12" hidden="0" customWidth="1"/>
    <x:col min="9" max="9" width="10" hidden="0" customWidth="1"/>
    <x:col min="10" max="10" width="20" hidden="0" customWidth="1"/>
    <x:col min="11" max="11" width="16" hidden="0" customWidth="1"/>
    <x:col min="12" max="12" width="35" hidden="0" customWidth="1"/>
  </x:cols>
  <x:sheetData>
    <x:row r="1">
      <x:c r="A1" s="63" t="str">
        <x:v>Evidence ID</x:v>
      </x:c>
      <x:c r="B1" s="63" t="str">
        <x:v>Linked Question</x:v>
      </x:c>
      <x:c r="C1" s="63" t="str">
        <x:v>Domain</x:v>
      </x:c>
      <x:c r="D1" s="63" t="str">
        <x:v>Evidence Type</x:v>
      </x:c>
      <x:c r="E1" s="63" t="str">
        <x:v>Evidence Required</x:v>
      </x:c>
      <x:c r="F1" s="63" t="str">
        <x:v>Evidence Owner</x:v>
      </x:c>
      <x:c r="G1" s="63" t="str">
        <x:v>Evidence Status</x:v>
      </x:c>
      <x:c r="H1" s="63" t="str">
        <x:v>Evidence Level</x:v>
      </x:c>
      <x:c r="I1" s="63" t="str">
        <x:v>Fresh?</x:v>
      </x:c>
      <x:c r="J1" s="63" t="str">
        <x:v>Reviewer</x:v>
      </x:c>
      <x:c r="K1" s="63" t="str">
        <x:v>Review Status</x:v>
      </x:c>
      <x:c r="L1" s="63" t="str">
        <x:v>Comments</x:v>
      </x:c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EV-001</x:v>
      </x:c>
      <x:c r="B2" s="55" t="str">
        <x:v>G1.1</x:v>
      </x:c>
      <x:c r="C2" s="55" t="str">
        <x:v>Governance, accountability and DPDP ownership</x:v>
      </x:c>
      <x:c r="D2" s="55" t="str">
        <x:v>Document / Screenshot / Log</x:v>
      </x:c>
      <x:c r="E2" s="55" t="str">
        <x:v>Role mapping document / fiduciary-processor classification</x:v>
      </x:c>
      <x:c r="F2" s="55" t="str">
        <x:v>Executive Sponsor / DPDP Owner</x:v>
      </x:c>
      <x:c r="G2" s="55" t="str">
        <x:v>Partial</x:v>
      </x:c>
      <x:c r="H2" s="55" t="n">
        <x:v>2</x:v>
      </x:c>
      <x:c r="I2" s="55" t="str">
        <x:v>Yes</x:v>
      </x:c>
      <x:c r="J2" s="55" t="str">
        <x:v>Anix AI Reviewer</x:v>
      </x:c>
      <x:c r="K2" s="55" t="str">
        <x:v>Pending</x:v>
      </x:c>
      <x:c r="L2" s="55" t="str">
        <x:v>Upload evidence supporting the claimed maturity score.</x:v>
      </x:c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EV-002</x:v>
      </x:c>
      <x:c r="B3" s="55" t="str">
        <x:v>G1.2</x:v>
      </x:c>
      <x:c r="C3" s="55" t="str">
        <x:v>Governance, accountability and DPDP ownership</x:v>
      </x:c>
      <x:c r="D3" s="55" t="str">
        <x:v>Document / Screenshot / Log</x:v>
      </x:c>
      <x:c r="E3" s="55" t="str">
        <x:v>Appointment note / office order / email</x:v>
      </x:c>
      <x:c r="F3" s="55" t="str">
        <x:v>Executive Sponsor / DPDP Owner</x:v>
      </x:c>
      <x:c r="G3" s="55" t="str">
        <x:v>Partial</x:v>
      </x:c>
      <x:c r="H3" s="55" t="n">
        <x:v>2</x:v>
      </x:c>
      <x:c r="I3" s="55" t="str">
        <x:v>Yes</x:v>
      </x:c>
      <x:c r="J3" s="55" t="str">
        <x:v>Anix AI Reviewer</x:v>
      </x:c>
      <x:c r="K3" s="55" t="str">
        <x:v>Pending</x:v>
      </x:c>
      <x:c r="L3" s="55" t="str">
        <x:v>Upload evidence supporting the claimed maturity score.</x:v>
      </x:c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EV-003</x:v>
      </x:c>
      <x:c r="B4" s="55" t="str">
        <x:v>G1.3</x:v>
      </x:c>
      <x:c r="C4" s="55" t="str">
        <x:v>Governance, accountability and DPDP ownership</x:v>
      </x:c>
      <x:c r="D4" s="55" t="str">
        <x:v>Document / Screenshot / Log</x:v>
      </x:c>
      <x:c r="E4" s="55" t="str">
        <x:v>Committee charter and meeting minutes</x:v>
      </x:c>
      <x:c r="F4" s="55" t="str">
        <x:v>Executive Sponsor / DPDP Owner</x:v>
      </x:c>
      <x:c r="G4" s="55" t="str">
        <x:v>Partial</x:v>
      </x:c>
      <x:c r="H4" s="55" t="n">
        <x:v>2</x:v>
      </x:c>
      <x:c r="I4" s="55" t="str">
        <x:v>Yes</x:v>
      </x:c>
      <x:c r="J4" s="55" t="str">
        <x:v>Anix AI Reviewer</x:v>
      </x:c>
      <x:c r="K4" s="55" t="str">
        <x:v>Pending</x:v>
      </x:c>
      <x:c r="L4" s="55" t="str">
        <x:v>Upload evidence supporting the claimed maturity score.</x:v>
      </x:c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EV-004</x:v>
      </x:c>
      <x:c r="B5" s="55" t="str">
        <x:v>G1.4</x:v>
      </x:c>
      <x:c r="C5" s="55" t="str">
        <x:v>Governance, accountability and DPDP ownership</x:v>
      </x:c>
      <x:c r="D5" s="55" t="str">
        <x:v>Document / Screenshot / Log</x:v>
      </x:c>
      <x:c r="E5" s="55" t="str">
        <x:v>RACI matrix</x:v>
      </x:c>
      <x:c r="F5" s="55" t="str">
        <x:v>Executive Sponsor / DPDP Owner</x:v>
      </x:c>
      <x:c r="G5" s="55" t="str">
        <x:v>Partial</x:v>
      </x:c>
      <x:c r="H5" s="55" t="n">
        <x:v>2</x:v>
      </x:c>
      <x:c r="I5" s="55" t="str">
        <x:v>Yes</x:v>
      </x:c>
      <x:c r="J5" s="55" t="str">
        <x:v>Anix AI Reviewer</x:v>
      </x:c>
      <x:c r="K5" s="55" t="str">
        <x:v>Pending</x:v>
      </x:c>
      <x:c r="L5" s="55" t="str">
        <x:v>Upload evidence supporting the claimed maturity score.</x:v>
      </x:c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EV-005</x:v>
      </x:c>
      <x:c r="B6" s="55" t="str">
        <x:v>G1.5</x:v>
      </x:c>
      <x:c r="C6" s="55" t="str">
        <x:v>Governance, accountability and DPDP ownership</x:v>
      </x:c>
      <x:c r="D6" s="55" t="str">
        <x:v>Document / Screenshot / Log</x:v>
      </x:c>
      <x:c r="E6" s="55" t="str">
        <x:v>Dashboard / risk review minutes</x:v>
      </x:c>
      <x:c r="F6" s="55" t="str">
        <x:v>Executive Sponsor / DPDP Owner</x:v>
      </x:c>
      <x:c r="G6" s="55" t="str">
        <x:v>Partial</x:v>
      </x:c>
      <x:c r="H6" s="55" t="n">
        <x:v>2</x:v>
      </x:c>
      <x:c r="I6" s="55" t="str">
        <x:v>Yes</x:v>
      </x:c>
      <x:c r="J6" s="55" t="str">
        <x:v>Anix AI Reviewer</x:v>
      </x:c>
      <x:c r="K6" s="55" t="str">
        <x:v>Pending</x:v>
      </x:c>
      <x:c r="L6" s="55" t="str">
        <x:v>Upload evidence supporting the claimed maturity score.</x:v>
      </x:c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EV-006</x:v>
      </x:c>
      <x:c r="B7" s="55" t="str">
        <x:v>G1.6</x:v>
      </x:c>
      <x:c r="C7" s="55" t="str">
        <x:v>Governance, accountability and DPDP ownership</x:v>
      </x:c>
      <x:c r="D7" s="55" t="str">
        <x:v>Document / Screenshot / Log</x:v>
      </x:c>
      <x:c r="E7" s="55" t="str">
        <x:v>Responsibility matrix / operating note</x:v>
      </x:c>
      <x:c r="F7" s="55" t="str">
        <x:v>Executive Sponsor / DPDP Owner</x:v>
      </x:c>
      <x:c r="G7" s="55" t="str">
        <x:v>Partial</x:v>
      </x:c>
      <x:c r="H7" s="55" t="n">
        <x:v>2</x:v>
      </x:c>
      <x:c r="I7" s="55" t="str">
        <x:v>Yes</x:v>
      </x:c>
      <x:c r="J7" s="55" t="str">
        <x:v>Anix AI Reviewer</x:v>
      </x:c>
      <x:c r="K7" s="55" t="str">
        <x:v>Pending</x:v>
      </x:c>
      <x:c r="L7" s="55" t="str">
        <x:v>Upload evidence supporting the claimed maturity score.</x:v>
      </x:c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EV-007</x:v>
      </x:c>
      <x:c r="B8" s="55" t="str">
        <x:v>G1.7</x:v>
      </x:c>
      <x:c r="C8" s="55" t="str">
        <x:v>Governance, accountability and DPDP ownership</x:v>
      </x:c>
      <x:c r="D8" s="55" t="str">
        <x:v>Document / Screenshot / Log</x:v>
      </x:c>
      <x:c r="E8" s="55" t="str">
        <x:v>Budget note / project plan / resource allocation</x:v>
      </x:c>
      <x:c r="F8" s="55" t="str">
        <x:v>Executive Sponsor / DPDP Owner</x:v>
      </x:c>
      <x:c r="G8" s="55" t="str">
        <x:v>Partial</x:v>
      </x:c>
      <x:c r="H8" s="55" t="n">
        <x:v>2</x:v>
      </x:c>
      <x:c r="I8" s="55" t="str">
        <x:v>Yes</x:v>
      </x:c>
      <x:c r="J8" s="55" t="str">
        <x:v>Anix AI Reviewer</x:v>
      </x:c>
      <x:c r="K8" s="55" t="str">
        <x:v>Pending</x:v>
      </x:c>
      <x:c r="L8" s="55" t="str">
        <x:v>Upload evidence supporting the claimed maturity score.</x:v>
      </x:c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 t="str">
        <x:v>EV-008</x:v>
      </x:c>
      <x:c r="B9" s="55" t="str">
        <x:v>DI1.1</x:v>
      </x:c>
      <x:c r="C9" s="55" t="str">
        <x:v>Personal data discovery and inventory</x:v>
      </x:c>
      <x:c r="D9" s="55" t="str">
        <x:v>Document / Screenshot / Log</x:v>
      </x:c>
      <x:c r="E9" s="55" t="str">
        <x:v>Personal data inventory</x:v>
      </x:c>
      <x:c r="F9" s="55" t="str">
        <x:v>IT + Process Owners</x:v>
      </x:c>
      <x:c r="G9" s="55" t="str">
        <x:v>Requested</x:v>
      </x:c>
      <x:c r="H9" s="55" t="n">
        <x:v>1</x:v>
      </x:c>
      <x:c r="I9" s="55" t="str">
        <x:v>Yes</x:v>
      </x:c>
      <x:c r="J9" s="55" t="str">
        <x:v>Anix AI Reviewer</x:v>
      </x:c>
      <x:c r="K9" s="55" t="str">
        <x:v>Pending</x:v>
      </x:c>
      <x:c r="L9" s="55" t="str">
        <x:v>Upload evidence supporting the claimed maturity score.</x:v>
      </x:c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 t="str">
        <x:v>EV-009</x:v>
      </x:c>
      <x:c r="B10" s="55" t="str">
        <x:v>DI1.2</x:v>
      </x:c>
      <x:c r="C10" s="55" t="str">
        <x:v>Personal data discovery and inventory</x:v>
      </x:c>
      <x:c r="D10" s="55" t="str">
        <x:v>Document / Screenshot / Log</x:v>
      </x:c>
      <x:c r="E10" s="55" t="str">
        <x:v>Data category register</x:v>
      </x:c>
      <x:c r="F10" s="55" t="str">
        <x:v>IT + Process Owners</x:v>
      </x:c>
      <x:c r="G10" s="55" t="str">
        <x:v>Requested</x:v>
      </x:c>
      <x:c r="H10" s="55" t="n">
        <x:v>1</x:v>
      </x:c>
      <x:c r="I10" s="55" t="str">
        <x:v>Yes</x:v>
      </x:c>
      <x:c r="J10" s="55" t="str">
        <x:v>Anix AI Reviewer</x:v>
      </x:c>
      <x:c r="K10" s="55" t="str">
        <x:v>Pending</x:v>
      </x:c>
      <x:c r="L10" s="55" t="str">
        <x:v>Upload evidence supporting the claimed maturity score.</x:v>
      </x:c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EV-010</x:v>
      </x:c>
      <x:c r="B11" s="55" t="str">
        <x:v>DI1.3</x:v>
      </x:c>
      <x:c r="C11" s="55" t="str">
        <x:v>Personal data discovery and inventory</x:v>
      </x:c>
      <x:c r="D11" s="55" t="str">
        <x:v>Document / Screenshot / Log</x:v>
      </x:c>
      <x:c r="E11" s="55" t="str">
        <x:v>Collection-point inventory</x:v>
      </x:c>
      <x:c r="F11" s="55" t="str">
        <x:v>IT + Process Owners</x:v>
      </x:c>
      <x:c r="G11" s="55" t="str">
        <x:v>Requested</x:v>
      </x:c>
      <x:c r="H11" s="55" t="n">
        <x:v>1</x:v>
      </x:c>
      <x:c r="I11" s="55" t="str">
        <x:v>Yes</x:v>
      </x:c>
      <x:c r="J11" s="55" t="str">
        <x:v>Anix AI Reviewer</x:v>
      </x:c>
      <x:c r="K11" s="55" t="str">
        <x:v>Pending</x:v>
      </x:c>
      <x:c r="L11" s="55" t="str">
        <x:v>Upload evidence supporting the claimed maturity score.</x:v>
      </x:c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str">
        <x:v>EV-011</x:v>
      </x:c>
      <x:c r="B12" s="55" t="str">
        <x:v>DI1.4</x:v>
      </x:c>
      <x:c r="C12" s="55" t="str">
        <x:v>Personal data discovery and inventory</x:v>
      </x:c>
      <x:c r="D12" s="55" t="str">
        <x:v>Document / Screenshot / Log</x:v>
      </x:c>
      <x:c r="E12" s="55" t="str">
        <x:v>System inventory</x:v>
      </x:c>
      <x:c r="F12" s="55" t="str">
        <x:v>IT + Process Owners</x:v>
      </x:c>
      <x:c r="G12" s="55" t="str">
        <x:v>Requested</x:v>
      </x:c>
      <x:c r="H12" s="55" t="n">
        <x:v>1</x:v>
      </x:c>
      <x:c r="I12" s="55" t="str">
        <x:v>Yes</x:v>
      </x:c>
      <x:c r="J12" s="55" t="str">
        <x:v>Anix AI Reviewer</x:v>
      </x:c>
      <x:c r="K12" s="55" t="str">
        <x:v>Pending</x:v>
      </x:c>
      <x:c r="L12" s="55" t="str">
        <x:v>Upload evidence supporting the claimed maturity score.</x:v>
      </x:c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EV-012</x:v>
      </x:c>
      <x:c r="B13" s="55" t="str">
        <x:v>DI1.5</x:v>
      </x:c>
      <x:c r="C13" s="55" t="str">
        <x:v>Personal data discovery and inventory</x:v>
      </x:c>
      <x:c r="D13" s="55" t="str">
        <x:v>Document / Screenshot / Log</x:v>
      </x:c>
      <x:c r="E13" s="55" t="str">
        <x:v>Data-flow map</x:v>
      </x:c>
      <x:c r="F13" s="55" t="str">
        <x:v>IT + Process Owners</x:v>
      </x:c>
      <x:c r="G13" s="55" t="str">
        <x:v>Requested</x:v>
      </x:c>
      <x:c r="H13" s="55" t="n">
        <x:v>1</x:v>
      </x:c>
      <x:c r="I13" s="55" t="str">
        <x:v>Yes</x:v>
      </x:c>
      <x:c r="J13" s="55" t="str">
        <x:v>Anix AI Reviewer</x:v>
      </x:c>
      <x:c r="K13" s="55" t="str">
        <x:v>Pending</x:v>
      </x:c>
      <x:c r="L13" s="55" t="str">
        <x:v>Upload evidence supporting the claimed maturity score.</x:v>
      </x:c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str">
        <x:v>EV-013</x:v>
      </x:c>
      <x:c r="B14" s="55" t="str">
        <x:v>DI1.6</x:v>
      </x:c>
      <x:c r="C14" s="55" t="str">
        <x:v>Personal data discovery and inventory</x:v>
      </x:c>
      <x:c r="D14" s="55" t="str">
        <x:v>Document / Screenshot / Log</x:v>
      </x:c>
      <x:c r="E14" s="55" t="str">
        <x:v>Change/update SOP</x:v>
      </x:c>
      <x:c r="F14" s="55" t="str">
        <x:v>IT + Process Owners</x:v>
      </x:c>
      <x:c r="G14" s="55" t="str">
        <x:v>Requested</x:v>
      </x:c>
      <x:c r="H14" s="55" t="n">
        <x:v>1</x:v>
      </x:c>
      <x:c r="I14" s="55" t="str">
        <x:v>Yes</x:v>
      </x:c>
      <x:c r="J14" s="55" t="str">
        <x:v>Anix AI Reviewer</x:v>
      </x:c>
      <x:c r="K14" s="55" t="str">
        <x:v>Pending</x:v>
      </x:c>
      <x:c r="L14" s="55" t="str">
        <x:v>Upload evidence supporting the claimed maturity score.</x:v>
      </x:c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5" t="str">
        <x:v>EV-014</x:v>
      </x:c>
      <x:c r="B15" s="55" t="str">
        <x:v>DI1.7</x:v>
      </x:c>
      <x:c r="C15" s="55" t="str">
        <x:v>Personal data discovery and inventory</x:v>
      </x:c>
      <x:c r="D15" s="55" t="str">
        <x:v>Document / Screenshot / Log</x:v>
      </x:c>
      <x:c r="E15" s="55" t="str">
        <x:v>Offline-to-digital inventory evidence</x:v>
      </x:c>
      <x:c r="F15" s="55" t="str">
        <x:v>IT + Process Owners</x:v>
      </x:c>
      <x:c r="G15" s="55" t="str">
        <x:v>Requested</x:v>
      </x:c>
      <x:c r="H15" s="55" t="n">
        <x:v>1</x:v>
      </x:c>
      <x:c r="I15" s="55" t="str">
        <x:v>Yes</x:v>
      </x:c>
      <x:c r="J15" s="55" t="str">
        <x:v>Anix AI Reviewer</x:v>
      </x:c>
      <x:c r="K15" s="55" t="str">
        <x:v>Pending</x:v>
      </x:c>
      <x:c r="L15" s="55" t="str">
        <x:v>Upload evidence supporting the claimed maturity score.</x:v>
      </x:c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 t="str">
        <x:v>EV-015</x:v>
      </x:c>
      <x:c r="B16" s="55" t="str">
        <x:v>ROPA1.1</x:v>
      </x:c>
      <x:c r="C16" s="55" t="str">
        <x:v>ROPA / Records of Processing Activities</x:v>
      </x:c>
      <x:c r="D16" s="55" t="str">
        <x:v>Document / Screenshot / Log</x:v>
      </x:c>
      <x:c r="E16" s="55" t="str">
        <x:v>ROPA register</x:v>
      </x:c>
      <x:c r="F16" s="55" t="str">
        <x:v>DPDP Owner + Process Owners</x:v>
      </x:c>
      <x:c r="G16" s="55" t="str">
        <x:v>Requested</x:v>
      </x:c>
      <x:c r="H16" s="55" t="n">
        <x:v>1</x:v>
      </x:c>
      <x:c r="I16" s="55" t="str">
        <x:v>Yes</x:v>
      </x:c>
      <x:c r="J16" s="55" t="str">
        <x:v>Anix AI Reviewer</x:v>
      </x:c>
      <x:c r="K16" s="55" t="str">
        <x:v>Pending</x:v>
      </x:c>
      <x:c r="L16" s="55" t="str">
        <x:v>Upload evidence supporting the claimed maturity score.</x:v>
      </x:c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5" t="str">
        <x:v>EV-016</x:v>
      </x:c>
      <x:c r="B17" s="55" t="str">
        <x:v>ROPA1.2</x:v>
      </x:c>
      <x:c r="C17" s="55" t="str">
        <x:v>ROPA / Records of Processing Activities</x:v>
      </x:c>
      <x:c r="D17" s="55" t="str">
        <x:v>Document / Screenshot / Log</x:v>
      </x:c>
      <x:c r="E17" s="55" t="str">
        <x:v>Owner mapping within ROPA</x:v>
      </x:c>
      <x:c r="F17" s="55" t="str">
        <x:v>DPDP Owner + Process Owners</x:v>
      </x:c>
      <x:c r="G17" s="55" t="str">
        <x:v>Requested</x:v>
      </x:c>
      <x:c r="H17" s="55" t="n">
        <x:v>1</x:v>
      </x:c>
      <x:c r="I17" s="55" t="str">
        <x:v>Yes</x:v>
      </x:c>
      <x:c r="J17" s="55" t="str">
        <x:v>Anix AI Reviewer</x:v>
      </x:c>
      <x:c r="K17" s="55" t="str">
        <x:v>Pending</x:v>
      </x:c>
      <x:c r="L17" s="55" t="str">
        <x:v>Upload evidence supporting the claimed maturity score.</x:v>
      </x:c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5" t="str">
        <x:v>EV-017</x:v>
      </x:c>
      <x:c r="B18" s="55" t="str">
        <x:v>ROPA1.3</x:v>
      </x:c>
      <x:c r="C18" s="55" t="str">
        <x:v>ROPA / Records of Processing Activities</x:v>
      </x:c>
      <x:c r="D18" s="55" t="str">
        <x:v>Document / Screenshot / Log</x:v>
      </x:c>
      <x:c r="E18" s="55" t="str">
        <x:v>Data Principal/data category mapping</x:v>
      </x:c>
      <x:c r="F18" s="55" t="str">
        <x:v>DPDP Owner + Process Owners</x:v>
      </x:c>
      <x:c r="G18" s="55" t="str">
        <x:v>Requested</x:v>
      </x:c>
      <x:c r="H18" s="55" t="n">
        <x:v>1</x:v>
      </x:c>
      <x:c r="I18" s="55" t="str">
        <x:v>Yes</x:v>
      </x:c>
      <x:c r="J18" s="55" t="str">
        <x:v>Anix AI Reviewer</x:v>
      </x:c>
      <x:c r="K18" s="55" t="str">
        <x:v>Pending</x:v>
      </x:c>
      <x:c r="L18" s="55" t="str">
        <x:v>Upload evidence supporting the claimed maturity score.</x:v>
      </x:c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5" t="str">
        <x:v>EV-018</x:v>
      </x:c>
      <x:c r="B19" s="55" t="str">
        <x:v>ROPA1.4</x:v>
      </x:c>
      <x:c r="C19" s="55" t="str">
        <x:v>ROPA / Records of Processing Activities</x:v>
      </x:c>
      <x:c r="D19" s="55" t="str">
        <x:v>Document / Screenshot / Log</x:v>
      </x:c>
      <x:c r="E19" s="55" t="str">
        <x:v>Purpose and basis mapping</x:v>
      </x:c>
      <x:c r="F19" s="55" t="str">
        <x:v>DPDP Owner + Process Owners</x:v>
      </x:c>
      <x:c r="G19" s="55" t="str">
        <x:v>Requested</x:v>
      </x:c>
      <x:c r="H19" s="55" t="n">
        <x:v>1</x:v>
      </x:c>
      <x:c r="I19" s="55" t="str">
        <x:v>Yes</x:v>
      </x:c>
      <x:c r="J19" s="55" t="str">
        <x:v>Anix AI Reviewer</x:v>
      </x:c>
      <x:c r="K19" s="55" t="str">
        <x:v>Pending</x:v>
      </x:c>
      <x:c r="L19" s="55" t="str">
        <x:v>Upload evidence supporting the claimed maturity score.</x:v>
      </x:c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5" t="str">
        <x:v>EV-019</x:v>
      </x:c>
      <x:c r="B20" s="55" t="str">
        <x:v>ROPA1.5</x:v>
      </x:c>
      <x:c r="C20" s="55" t="str">
        <x:v>ROPA / Records of Processing Activities</x:v>
      </x:c>
      <x:c r="D20" s="55" t="str">
        <x:v>Document / Screenshot / Log</x:v>
      </x:c>
      <x:c r="E20" s="55" t="str">
        <x:v>System/vendor/data-flow mapping</x:v>
      </x:c>
      <x:c r="F20" s="55" t="str">
        <x:v>DPDP Owner + Process Owners</x:v>
      </x:c>
      <x:c r="G20" s="55" t="str">
        <x:v>Requested</x:v>
      </x:c>
      <x:c r="H20" s="55" t="n">
        <x:v>1</x:v>
      </x:c>
      <x:c r="I20" s="55" t="str">
        <x:v>Yes</x:v>
      </x:c>
      <x:c r="J20" s="55" t="str">
        <x:v>Anix AI Reviewer</x:v>
      </x:c>
      <x:c r="K20" s="55" t="str">
        <x:v>Pending</x:v>
      </x:c>
      <x:c r="L20" s="55" t="str">
        <x:v>Upload evidence supporting the claimed maturity score.</x:v>
      </x:c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5" t="str">
        <x:v>EV-020</x:v>
      </x:c>
      <x:c r="B21" s="55" t="str">
        <x:v>ROPA1.6</x:v>
      </x:c>
      <x:c r="C21" s="55" t="str">
        <x:v>ROPA / Records of Processing Activities</x:v>
      </x:c>
      <x:c r="D21" s="55" t="str">
        <x:v>Document / Screenshot / Log</x:v>
      </x:c>
      <x:c r="E21" s="55" t="str">
        <x:v>Completed ROPA template</x:v>
      </x:c>
      <x:c r="F21" s="55" t="str">
        <x:v>DPDP Owner + Process Owners</x:v>
      </x:c>
      <x:c r="G21" s="55" t="str">
        <x:v>Requested</x:v>
      </x:c>
      <x:c r="H21" s="55" t="n">
        <x:v>1</x:v>
      </x:c>
      <x:c r="I21" s="55" t="str">
        <x:v>Yes</x:v>
      </x:c>
      <x:c r="J21" s="55" t="str">
        <x:v>Anix AI Reviewer</x:v>
      </x:c>
      <x:c r="K21" s="55" t="str">
        <x:v>Pending</x:v>
      </x:c>
      <x:c r="L21" s="55" t="str">
        <x:v>Upload evidence supporting the claimed maturity score.</x:v>
      </x:c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5" t="str">
        <x:v>EV-021</x:v>
      </x:c>
      <x:c r="B22" s="55" t="str">
        <x:v>ROPA1.7</x:v>
      </x:c>
      <x:c r="C22" s="55" t="str">
        <x:v>ROPA / Records of Processing Activities</x:v>
      </x:c>
      <x:c r="D22" s="55" t="str">
        <x:v>Document / Screenshot / Log</x:v>
      </x:c>
      <x:c r="E22" s="55" t="str">
        <x:v>Change-management SOP</x:v>
      </x:c>
      <x:c r="F22" s="55" t="str">
        <x:v>DPDP Owner + Process Owners</x:v>
      </x:c>
      <x:c r="G22" s="55" t="str">
        <x:v>Requested</x:v>
      </x:c>
      <x:c r="H22" s="55" t="n">
        <x:v>1</x:v>
      </x:c>
      <x:c r="I22" s="55" t="str">
        <x:v>Yes</x:v>
      </x:c>
      <x:c r="J22" s="55" t="str">
        <x:v>Anix AI Reviewer</x:v>
      </x:c>
      <x:c r="K22" s="55" t="str">
        <x:v>Pending</x:v>
      </x:c>
      <x:c r="L22" s="55" t="str">
        <x:v>Upload evidence supporting the claimed maturity score.</x:v>
      </x:c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5" t="str">
        <x:v>EV-022</x:v>
      </x:c>
      <x:c r="B23" s="55" t="str">
        <x:v>ROPA1.8</x:v>
      </x:c>
      <x:c r="C23" s="55" t="str">
        <x:v>ROPA / Records of Processing Activities</x:v>
      </x:c>
      <x:c r="D23" s="55" t="str">
        <x:v>Document / Screenshot / Log</x:v>
      </x:c>
      <x:c r="E23" s="55" t="str">
        <x:v>Review minutes / dashboard</x:v>
      </x:c>
      <x:c r="F23" s="55" t="str">
        <x:v>DPDP Owner + Process Owners</x:v>
      </x:c>
      <x:c r="G23" s="55" t="str">
        <x:v>Requested</x:v>
      </x:c>
      <x:c r="H23" s="55" t="n">
        <x:v>1</x:v>
      </x:c>
      <x:c r="I23" s="55" t="str">
        <x:v>Yes</x:v>
      </x:c>
      <x:c r="J23" s="55" t="str">
        <x:v>Anix AI Reviewer</x:v>
      </x:c>
      <x:c r="K23" s="55" t="str">
        <x:v>Pending</x:v>
      </x:c>
      <x:c r="L23" s="55" t="str">
        <x:v>Upload evidence supporting the claimed maturity score.</x:v>
      </x:c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5" t="str">
        <x:v>EV-023</x:v>
      </x:c>
      <x:c r="B24" s="55" t="str">
        <x:v>P1.1</x:v>
      </x:c>
      <x:c r="C24" s="55" t="str">
        <x:v>Purpose, lawful basis and data minimisation</x:v>
      </x:c>
      <x:c r="D24" s="55" t="str">
        <x:v>Document / Screenshot / Log</x:v>
      </x:c>
      <x:c r="E24" s="55" t="str">
        <x:v>Purpose mapping register</x:v>
      </x:c>
      <x:c r="F24" s="55" t="str">
        <x:v>Legal + Process Owners</x:v>
      </x:c>
      <x:c r="G24" s="55" t="str">
        <x:v>Partial</x:v>
      </x:c>
      <x:c r="H24" s="55" t="n">
        <x:v>2</x:v>
      </x:c>
      <x:c r="I24" s="55" t="str">
        <x:v>Yes</x:v>
      </x:c>
      <x:c r="J24" s="55" t="str">
        <x:v>Anix AI Reviewer</x:v>
      </x:c>
      <x:c r="K24" s="55" t="str">
        <x:v>Pending</x:v>
      </x:c>
      <x:c r="L24" s="55" t="str">
        <x:v>Upload evidence supporting the claimed maturity score.</x:v>
      </x:c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5" t="str">
        <x:v>EV-024</x:v>
      </x:c>
      <x:c r="B25" s="55" t="str">
        <x:v>P1.2</x:v>
      </x:c>
      <x:c r="C25" s="55" t="str">
        <x:v>Purpose, lawful basis and data minimisation</x:v>
      </x:c>
      <x:c r="D25" s="55" t="str">
        <x:v>Document / Screenshot / Log</x:v>
      </x:c>
      <x:c r="E25" s="55" t="str">
        <x:v>Lawful/DPDP basis register</x:v>
      </x:c>
      <x:c r="F25" s="55" t="str">
        <x:v>Legal + Process Owners</x:v>
      </x:c>
      <x:c r="G25" s="55" t="str">
        <x:v>Partial</x:v>
      </x:c>
      <x:c r="H25" s="55" t="n">
        <x:v>2</x:v>
      </x:c>
      <x:c r="I25" s="55" t="str">
        <x:v>Yes</x:v>
      </x:c>
      <x:c r="J25" s="55" t="str">
        <x:v>Anix AI Reviewer</x:v>
      </x:c>
      <x:c r="K25" s="55" t="str">
        <x:v>Pending</x:v>
      </x:c>
      <x:c r="L25" s="55" t="str">
        <x:v>Upload evidence supporting the claimed maturity score.</x:v>
      </x:c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5" t="str">
        <x:v>EV-025</x:v>
      </x:c>
      <x:c r="B26" s="55" t="str">
        <x:v>P1.3</x:v>
      </x:c>
      <x:c r="C26" s="55" t="str">
        <x:v>Purpose, lawful basis and data minimisation</x:v>
      </x:c>
      <x:c r="D26" s="55" t="str">
        <x:v>Document / Screenshot / Log</x:v>
      </x:c>
      <x:c r="E26" s="55" t="str">
        <x:v>Form review report</x:v>
      </x:c>
      <x:c r="F26" s="55" t="str">
        <x:v>Legal + Process Owners</x:v>
      </x:c>
      <x:c r="G26" s="55" t="str">
        <x:v>Partial</x:v>
      </x:c>
      <x:c r="H26" s="55" t="n">
        <x:v>2</x:v>
      </x:c>
      <x:c r="I26" s="55" t="str">
        <x:v>Yes</x:v>
      </x:c>
      <x:c r="J26" s="55" t="str">
        <x:v>Anix AI Reviewer</x:v>
      </x:c>
      <x:c r="K26" s="55" t="str">
        <x:v>Pending</x:v>
      </x:c>
      <x:c r="L26" s="55" t="str">
        <x:v>Upload evidence supporting the claimed maturity score.</x:v>
      </x:c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6" hidden="0" customWidth="1"/>
    <x:col min="4" max="4" width="28" hidden="0" customWidth="1"/>
    <x:col min="5" max="5" width="45" hidden="0" customWidth="1"/>
    <x:col min="6" max="6" width="40" hidden="0" customWidth="1"/>
    <x:col min="7" max="7" width="28" hidden="0" customWidth="1"/>
    <x:col min="8" max="8" width="28" hidden="0" customWidth="1"/>
    <x:col min="9" max="9" width="24" hidden="0" customWidth="1"/>
    <x:col min="10" max="10" width="32" hidden="0" customWidth="1"/>
    <x:col min="11" max="11" width="35" hidden="0" customWidth="1"/>
    <x:col min="12" max="12" width="32" hidden="0" customWidth="1"/>
    <x:col min="13" max="13" width="30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16" hidden="0" customWidth="1"/>
    <x:col min="19" max="19" width="16" hidden="0" customWidth="1"/>
    <x:col min="20" max="20" width="16" hidden="0" customWidth="1"/>
    <x:col min="21" max="21" width="3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63" t="str">
        <x:v>ROPA ID</x:v>
      </x:c>
      <x:c r="B1" s="63" t="str">
        <x:v>Processing Activity</x:v>
      </x:c>
      <x:c r="C1" s="63" t="str">
        <x:v>Department / Owner</x:v>
      </x:c>
      <x:c r="D1" s="63" t="str">
        <x:v>Data Principal Type</x:v>
      </x:c>
      <x:c r="E1" s="63" t="str">
        <x:v>Personal Data Categories</x:v>
      </x:c>
      <x:c r="F1" s="63" t="str">
        <x:v>Purpose</x:v>
      </x:c>
      <x:c r="G1" s="63" t="str">
        <x:v>DPDP Basis / Legal Review</x:v>
      </x:c>
      <x:c r="H1" s="63" t="str">
        <x:v>Collection Source</x:v>
      </x:c>
      <x:c r="I1" s="63" t="str">
        <x:v>System(s)</x:v>
      </x:c>
      <x:c r="J1" s="63" t="str">
        <x:v>Processor / Vendor</x:v>
      </x:c>
      <x:c r="K1" s="63" t="str">
        <x:v>Sharing / Disclosure</x:v>
      </x:c>
      <x:c r="L1" s="63" t="str">
        <x:v>Retention Rule</x:v>
      </x:c>
      <x:c r="M1" s="63" t="str">
        <x:v>Security Safeguards</x:v>
      </x:c>
      <x:c r="N1" s="63" t="str">
        <x:v>Notice Linked</x:v>
      </x:c>
      <x:c r="O1" s="63" t="str">
        <x:v>Consent Linked</x:v>
      </x:c>
      <x:c r="P1" s="63" t="str">
        <x:v>Rights Workflow</x:v>
      </x:c>
      <x:c r="Q1" s="63" t="str">
        <x:v>Grievance Linked</x:v>
      </x:c>
      <x:c r="R1" s="63" t="str">
        <x:v>Children Data?</x:v>
      </x:c>
      <x:c r="S1" s="63" t="str">
        <x:v>Cross-Border?</x:v>
      </x:c>
      <x:c r="T1" s="63" t="str">
        <x:v>AI / Automated?</x:v>
      </x:c>
      <x:c r="U1" s="63" t="str">
        <x:v>Evidence</x:v>
      </x:c>
      <x:c r="V1" s="63" t="str">
        <x:v>Risk Rating</x:v>
      </x:c>
      <x:c r="W1" s="63" t="str">
        <x:v>Last Reviewed</x:v>
      </x:c>
      <x:c r="X1" s="63" t="str">
        <x:v>Next Review</x:v>
      </x:c>
      <x:c r="Y1" s="53"/>
      <x:c r="Z1" s="53"/>
    </x:row>
    <x:row r="2">
      <x:c r="A2" s="55" t="str">
        <x:v>ROPA-001</x:v>
      </x:c>
      <x:c r="B2" s="55" t="str">
        <x:v>Online admission application</x:v>
      </x:c>
      <x:c r="C2" s="55" t="str">
        <x:v>Admissions Department</x:v>
      </x:c>
      <x:c r="D2" s="55" t="str">
        <x:v>Applicant, parent/guardian</x:v>
      </x:c>
      <x:c r="E2" s="55" t="str">
        <x:v>Name, DOB, email, mobile, academic records, category/identity documents</x:v>
      </x:c>
      <x:c r="F2" s="55" t="str">
        <x:v>Admission eligibility, verification and communication</x:v>
      </x:c>
      <x:c r="G2" s="55" t="str">
        <x:v>To be legally reviewed</x:v>
      </x:c>
      <x:c r="H2" s="55" t="str">
        <x:v>Admission portal, uploaded documents</x:v>
      </x:c>
      <x:c r="I2" s="55" t="str">
        <x:v>Admission portal, ERP</x:v>
      </x:c>
      <x:c r="J2" s="55" t="str">
        <x:v>Portal vendor, cloud provider, SMS/email vendor</x:v>
      </x:c>
      <x:c r="K2" s="55" t="str">
        <x:v>Admissions, affiliated colleges, statutory authorities where applicable</x:v>
      </x:c>
      <x:c r="L2" s="55" t="str">
        <x:v>As per academic/legal retention schedule</x:v>
      </x:c>
      <x:c r="M2" s="55" t="str">
        <x:v>RBAC, encryption, access logs, backup</x:v>
      </x:c>
      <x:c r="N2" s="55" t="str">
        <x:v>Admission notice v1</x:v>
      </x:c>
      <x:c r="O2" s="55" t="str">
        <x:v>Consent where applicable</x:v>
      </x:c>
      <x:c r="P2" s="55" t="str">
        <x:v>Correction/access/erasure workflow</x:v>
      </x:c>
      <x:c r="Q2" s="55" t="str">
        <x:v>DPDP grievance channel</x:v>
      </x:c>
      <x:c r="R2" s="55" t="str">
        <x:v>Yes / Needs review</x:v>
      </x:c>
      <x:c r="S2" s="55" t="str">
        <x:v>Unknown</x:v>
      </x:c>
      <x:c r="T2" s="55" t="str">
        <x:v>No</x:v>
      </x:c>
      <x:c r="U2" s="55" t="str">
        <x:v>Form screenshot, notice, vendor contract</x:v>
      </x:c>
      <x:c r="V2" s="55" t="str">
        <x:v>High</x:v>
      </x:c>
      <x:c r="W2" s="74" t="n">
        <x:v>46268</x:v>
      </x:c>
      <x:c r="X2" s="74" t="n">
        <x:v>46298</x:v>
      </x:c>
      <x:c r="Y2" s="53"/>
      <x:c r="Z2" s="53"/>
    </x:row>
    <x:row r="3">
      <x:c r="A3" s="55" t="str">
        <x:v>ROPA-002</x:v>
      </x:c>
      <x:c r="B3" s="55" t="str">
        <x:v>Examination registration and result processing</x:v>
      </x:c>
      <x:c r="C3" s="55" t="str">
        <x:v>Controller of Examinations</x:v>
      </x:c>
      <x:c r="D3" s="55" t="str">
        <x:v>Student</x:v>
      </x:c>
      <x:c r="E3" s="55" t="str">
        <x:v>Enrollment no., exam forms, marks, result, revaluation data</x:v>
      </x:c>
      <x:c r="F3" s="55" t="str">
        <x:v>Conduct exams, publish results, process revaluation</x:v>
      </x:c>
      <x:c r="G3" s="55" t="str">
        <x:v>To be legally reviewed</x:v>
      </x:c>
      <x:c r="H3" s="55" t="str">
        <x:v>Exam portal, college submissions</x:v>
      </x:c>
      <x:c r="I3" s="55" t="str">
        <x:v>Exam system, ERP</x:v>
      </x:c>
      <x:c r="J3" s="55" t="str">
        <x:v>Exam software vendor, cloud/provider</x:v>
      </x:c>
      <x:c r="K3" s="55" t="str">
        <x:v>Students, colleges, statutory bodies where applicable</x:v>
      </x:c>
      <x:c r="L3" s="55" t="str">
        <x:v>As per academic/statutory retention</x:v>
      </x:c>
      <x:c r="M3" s="55" t="str">
        <x:v>RBAC, restricted exports, logs, backup</x:v>
      </x:c>
      <x:c r="N3" s="55" t="str">
        <x:v>Exam notice v1</x:v>
      </x:c>
      <x:c r="O3" s="55" t="str">
        <x:v>Usually not consent basis; review needed</x:v>
      </x:c>
      <x:c r="P3" s="55" t="str">
        <x:v>Correction/access workflow</x:v>
      </x:c>
      <x:c r="Q3" s="55" t="str">
        <x:v>DPDP grievance channel</x:v>
      </x:c>
      <x:c r="R3" s="55" t="str">
        <x:v>Possible under-18 / Needs review</x:v>
      </x:c>
      <x:c r="S3" s="55" t="str">
        <x:v>Unknown</x:v>
      </x:c>
      <x:c r="T3" s="55" t="str">
        <x:v>No</x:v>
      </x:c>
      <x:c r="U3" s="55" t="str">
        <x:v>Access matrix, logs, vendor contract</x:v>
      </x:c>
      <x:c r="V3" s="55" t="str">
        <x:v>Critical</x:v>
      </x:c>
      <x:c r="W3" s="74" t="n">
        <x:v>46268</x:v>
      </x:c>
      <x:c r="X3" s="74" t="n">
        <x:v>46298</x:v>
      </x:c>
      <x:c r="Y3" s="53"/>
      <x:c r="Z3" s="53"/>
    </x:row>
    <x:row r="4">
      <x:c r="A4" s="55" t="str">
        <x:v>ROPA-003</x:v>
      </x:c>
      <x:c r="B4" s="55" t="str">
        <x:v>Student ERP / SIS lifecycle management</x:v>
      </x:c>
      <x:c r="C4" s="55" t="str">
        <x:v>Registrar + IT</x:v>
      </x:c>
      <x:c r="D4" s="55" t="str">
        <x:v>Student</x:v>
      </x:c>
      <x:c r="E4" s="55" t="str">
        <x:v>Profile, contact, academic records, attendance, fees, documents</x:v>
      </x:c>
      <x:c r="F4" s="55" t="str">
        <x:v>Student lifecycle administration</x:v>
      </x:c>
      <x:c r="G4" s="55" t="str">
        <x:v>To be legally reviewed</x:v>
      </x:c>
      <x:c r="H4" s="55" t="str">
        <x:v>ERP, forms, department updates</x:v>
      </x:c>
      <x:c r="I4" s="55" t="str">
        <x:v>ERP / SIS</x:v>
      </x:c>
      <x:c r="J4" s="55" t="str">
        <x:v>ERP vendor, cloud provider</x:v>
      </x:c>
      <x:c r="K4" s="55" t="str">
        <x:v>Departments, exam section, finance, colleges</x:v>
      </x:c>
      <x:c r="L4" s="55" t="str">
        <x:v>As per academic/legal retention</x:v>
      </x:c>
      <x:c r="M4" s="55" t="str">
        <x:v>RBAC, logs, backups</x:v>
      </x:c>
      <x:c r="N4" s="55" t="str">
        <x:v>Student lifecycle notice v1</x:v>
      </x:c>
      <x:c r="O4" s="55" t="str">
        <x:v>Consent where applicable</x:v>
      </x:c>
      <x:c r="P4" s="55" t="str">
        <x:v>Access/correction/erasure workflow</x:v>
      </x:c>
      <x:c r="Q4" s="55" t="str">
        <x:v>DPDP grievance channel</x:v>
      </x:c>
      <x:c r="R4" s="55" t="str">
        <x:v>Yes / Needs review</x:v>
      </x:c>
      <x:c r="S4" s="55" t="str">
        <x:v>Unknown</x:v>
      </x:c>
      <x:c r="T4" s="55" t="str">
        <x:v>No</x:v>
      </x:c>
      <x:c r="U4" s="55" t="str">
        <x:v>ERP field list, role matrix</x:v>
      </x:c>
      <x:c r="V4" s="55" t="str">
        <x:v>High</x:v>
      </x:c>
      <x:c r="W4" s="74" t="n">
        <x:v>46268</x:v>
      </x:c>
      <x:c r="X4" s="74" t="n">
        <x:v>46298</x:v>
      </x:c>
      <x:c r="Y4" s="53"/>
      <x:c r="Z4" s="53"/>
    </x:row>
    <x:row r="5">
      <x:c r="A5" s="55" t="str">
        <x:v>ROPA-004</x:v>
      </x:c>
      <x:c r="B5" s="55" t="str">
        <x:v>LMS learning activity</x:v>
      </x:c>
      <x:c r="C5" s="55" t="str">
        <x:v>Academic + IT</x:v>
      </x:c>
      <x:c r="D5" s="55" t="str">
        <x:v>Student, faculty</x:v>
      </x:c>
      <x:c r="E5" s="55" t="str">
        <x:v>Login data, assignments, activity logs, grades, discussion posts</x:v>
      </x:c>
      <x:c r="F5" s="55" t="str">
        <x:v>Online learning delivery and academic tracking</x:v>
      </x:c>
      <x:c r="G5" s="55" t="str">
        <x:v>To be legally reviewed</x:v>
      </x:c>
      <x:c r="H5" s="55" t="str">
        <x:v>LMS login and activity</x:v>
      </x:c>
      <x:c r="I5" s="55" t="str">
        <x:v>LMS</x:v>
      </x:c>
      <x:c r="J5" s="55" t="str">
        <x:v>LMS provider, cloud provider</x:v>
      </x:c>
      <x:c r="K5" s="55" t="str">
        <x:v>Faculty, department, academic admin</x:v>
      </x:c>
      <x:c r="L5" s="55" t="str">
        <x:v>As per academic retention policy</x:v>
      </x:c>
      <x:c r="M5" s="55" t="str">
        <x:v>RBAC, logs, vendor controls</x:v>
      </x:c>
      <x:c r="N5" s="55" t="str">
        <x:v>LMS privacy notice v1</x:v>
      </x:c>
      <x:c r="O5" s="55" t="str">
        <x:v>Consent where optional analytics exists</x:v>
      </x:c>
      <x:c r="P5" s="55" t="str">
        <x:v>Access/correction workflow</x:v>
      </x:c>
      <x:c r="Q5" s="55" t="str">
        <x:v>DPDP grievance channel</x:v>
      </x:c>
      <x:c r="R5" s="55" t="str">
        <x:v>Possible</x:v>
      </x:c>
      <x:c r="S5" s="55" t="str">
        <x:v>Unknown</x:v>
      </x:c>
      <x:c r="T5" s="55" t="str">
        <x:v>Possible analytics</x:v>
      </x:c>
      <x:c r="U5" s="55" t="str">
        <x:v>LMS terms, data fields, vendor contract</x:v>
      </x:c>
      <x:c r="V5" s="55" t="str">
        <x:v>High</x:v>
      </x:c>
      <x:c r="W5" s="74" t="n">
        <x:v>46268</x:v>
      </x:c>
      <x:c r="X5" s="74" t="n">
        <x:v>46298</x:v>
      </x:c>
      <x:c r="Y5" s="53"/>
      <x:c r="Z5" s="53"/>
    </x:row>
    <x:row r="6">
      <x:c r="A6" s="55" t="str">
        <x:v>ROPA-005</x:v>
      </x:c>
      <x:c r="B6" s="55" t="str">
        <x:v>HR payroll and employee records</x:v>
      </x:c>
      <x:c r="C6" s="55" t="str">
        <x:v>HR + Finance</x:v>
      </x:c>
      <x:c r="D6" s="55" t="str">
        <x:v>Faculty, staff, employees</x:v>
      </x:c>
      <x:c r="E6" s="55" t="str">
        <x:v>PAN, bank details, salary, attendance, employment records</x:v>
      </x:c>
      <x:c r="F6" s="55" t="str">
        <x:v>Payroll, employment administration, statutory filings</x:v>
      </x:c>
      <x:c r="G6" s="55" t="str">
        <x:v>Employment/statutory basis; legal review</x:v>
      </x:c>
      <x:c r="H6" s="55" t="str">
        <x:v>HRMS, payroll documents</x:v>
      </x:c>
      <x:c r="I6" s="55" t="str">
        <x:v>HRMS, payroll system</x:v>
      </x:c>
      <x:c r="J6" s="55" t="str">
        <x:v>HRMS/payroll vendor, bank/payment provider</x:v>
      </x:c>
      <x:c r="K6" s="55" t="str">
        <x:v>Finance, statutory authorities, auditors</x:v>
      </x:c>
      <x:c r="L6" s="55" t="str">
        <x:v>Employment/tax/statutory retention</x:v>
      </x:c>
      <x:c r="M6" s="55" t="str">
        <x:v>Masking, RBAC, logs, secure export</x:v>
      </x:c>
      <x:c r="N6" s="55" t="str">
        <x:v>Employee privacy notice v1</x:v>
      </x:c>
      <x:c r="O6" s="55" t="str">
        <x:v>Not usually consent basis; review needed</x:v>
      </x:c>
      <x:c r="P6" s="55" t="str">
        <x:v>Correction/access workflow</x:v>
      </x:c>
      <x:c r="Q6" s="55" t="str">
        <x:v>DPDP grievance channel</x:v>
      </x:c>
      <x:c r="R6" s="55" t="str">
        <x:v>No</x:v>
      </x:c>
      <x:c r="S6" s="55" t="str">
        <x:v>Unknown</x:v>
      </x:c>
      <x:c r="T6" s="55" t="str">
        <x:v>No</x:v>
      </x:c>
      <x:c r="U6" s="55" t="str">
        <x:v>HRMS role matrix, payroll SOP</x:v>
      </x:c>
      <x:c r="V6" s="55" t="str">
        <x:v>Medium</x:v>
      </x:c>
      <x:c r="W6" s="74" t="n">
        <x:v>46268</x:v>
      </x:c>
      <x:c r="X6" s="74" t="n">
        <x:v>46298</x:v>
      </x:c>
      <x:c r="Y6" s="53"/>
      <x:c r="Z6" s="53"/>
    </x:row>
    <x:row r="7">
      <x:c r="A7" s="55" t="str">
        <x:v>ROPA-006</x:v>
      </x:c>
      <x:c r="B7" s="55" t="str">
        <x:v>Scholarship and concession processing</x:v>
      </x:c>
      <x:c r="C7" s="55" t="str">
        <x:v>Scholarship Cell</x:v>
      </x:c>
      <x:c r="D7" s="55" t="str">
        <x:v>Student, parent/guardian</x:v>
      </x:c>
      <x:c r="E7" s="55" t="str">
        <x:v>Income, category, bank, identity documents, academic details</x:v>
      </x:c>
      <x:c r="F7" s="55" t="str">
        <x:v>Scholarship eligibility and disbursement</x:v>
      </x:c>
      <x:c r="G7" s="55" t="str">
        <x:v>To be legally reviewed</x:v>
      </x:c>
      <x:c r="H7" s="55" t="str">
        <x:v>Portal, physical forms, college submissions</x:v>
      </x:c>
      <x:c r="I7" s="55" t="str">
        <x:v>Scholarship system, ERP, spreadsheets</x:v>
      </x:c>
      <x:c r="J7" s="55" t="str">
        <x:v>Portal/vendor, bank/payment vendor</x:v>
      </x:c>
      <x:c r="K7" s="55" t="str">
        <x:v>Government agencies, finance, colleges</x:v>
      </x:c>
      <x:c r="L7" s="55" t="str">
        <x:v>As per scheme/legal retention</x:v>
      </x:c>
      <x:c r="M7" s="55" t="str">
        <x:v>Restricted access, masking, logs</x:v>
      </x:c>
      <x:c r="N7" s="55" t="str">
        <x:v>Scholarship notice v1</x:v>
      </x:c>
      <x:c r="O7" s="55" t="str">
        <x:v>Consent where applicable</x:v>
      </x:c>
      <x:c r="P7" s="55" t="str">
        <x:v>Correction/access workflow</x:v>
      </x:c>
      <x:c r="Q7" s="55" t="str">
        <x:v>DPDP grievance channel</x:v>
      </x:c>
      <x:c r="R7" s="55" t="str">
        <x:v>Possible</x:v>
      </x:c>
      <x:c r="S7" s="55" t="str">
        <x:v>Unknown</x:v>
      </x:c>
      <x:c r="T7" s="55" t="str">
        <x:v>No</x:v>
      </x:c>
      <x:c r="U7" s="55" t="str">
        <x:v>Scheme forms, access evidence</x:v>
      </x:c>
      <x:c r="V7" s="55" t="str">
        <x:v>High</x:v>
      </x:c>
      <x:c r="W7" s="74" t="n">
        <x:v>46268</x:v>
      </x:c>
      <x:c r="X7" s="74" t="n">
        <x:v>46298</x:v>
      </x:c>
      <x:c r="Y7" s="53"/>
      <x:c r="Z7" s="53"/>
    </x:row>
    <x:row r="8">
      <x:c r="A8" s="55" t="str">
        <x:v>ROPA-007</x:v>
      </x:c>
      <x:c r="B8" s="55" t="str">
        <x:v>Affiliated college data exchange</x:v>
      </x:c>
      <x:c r="C8" s="55" t="str">
        <x:v>Registrar + Academic Admin</x:v>
      </x:c>
      <x:c r="D8" s="55" t="str">
        <x:v>Student, faculty, applicants</x:v>
      </x:c>
      <x:c r="E8" s="55" t="str">
        <x:v>Student records, exam details, college submissions, faculty data</x:v>
      </x:c>
      <x:c r="F8" s="55" t="str">
        <x:v>Academic administration and statutory reporting</x:v>
      </x:c>
      <x:c r="G8" s="55" t="str">
        <x:v>To be legally reviewed</x:v>
      </x:c>
      <x:c r="H8" s="55" t="str">
        <x:v>College portals, email, uploads</x:v>
      </x:c>
      <x:c r="I8" s="55" t="str">
        <x:v>University portal, spreadsheets, ERP</x:v>
      </x:c>
      <x:c r="J8" s="55" t="str">
        <x:v>College systems, cloud/email tools</x:v>
      </x:c>
      <x:c r="K8" s="55" t="str">
        <x:v>Affiliated colleges, departments, statutory bodies</x:v>
      </x:c>
      <x:c r="L8" s="55" t="str">
        <x:v>As per academic/legal retention</x:v>
      </x:c>
      <x:c r="M8" s="55" t="str">
        <x:v>Access controls, secure transfer, logs</x:v>
      </x:c>
      <x:c r="N8" s="55" t="str">
        <x:v>College data sharing notice/template</x:v>
      </x:c>
      <x:c r="O8" s="55" t="str">
        <x:v>Consent where applicable</x:v>
      </x:c>
      <x:c r="P8" s="55" t="str">
        <x:v>Rights workflow across college/university</x:v>
      </x:c>
      <x:c r="Q8" s="55" t="str">
        <x:v>DPDP grievance channel</x:v>
      </x:c>
      <x:c r="R8" s="55" t="str">
        <x:v>Possible</x:v>
      </x:c>
      <x:c r="S8" s="55" t="str">
        <x:v>Unknown</x:v>
      </x:c>
      <x:c r="T8" s="55" t="str">
        <x:v>No</x:v>
      </x:c>
      <x:c r="U8" s="55" t="str">
        <x:v>Data sharing template, coordinator list</x:v>
      </x:c>
      <x:c r="V8" s="55" t="str">
        <x:v>Critical</x:v>
      </x:c>
      <x:c r="W8" s="74" t="n">
        <x:v>46268</x:v>
      </x:c>
      <x:c r="X8" s="74" t="n">
        <x:v>46298</x:v>
      </x:c>
      <x:c r="Y8" s="53"/>
      <x:c r="Z8" s="53"/>
    </x:row>
    <x:row r="9">
      <x:c r="A9" s="55" t="str">
        <x:v>ROPA-008</x:v>
      </x:c>
      <x:c r="B9" s="55" t="str">
        <x:v>AI student chatbot</x:v>
      </x:c>
      <x:c r="C9" s="55" t="str">
        <x:v>IT + AI Cell</x:v>
      </x:c>
      <x:c r="D9" s="55" t="str">
        <x:v>Student, applicant, visitor</x:v>
      </x:c>
      <x:c r="E9" s="55" t="str">
        <x:v>User queries, contact details if captured, chat logs</x:v>
      </x:c>
      <x:c r="F9" s="55" t="str">
        <x:v>Student support and query handling</x:v>
      </x:c>
      <x:c r="G9" s="55" t="str">
        <x:v>To be legally reviewed</x:v>
      </x:c>
      <x:c r="H9" s="55" t="str">
        <x:v>Website/app chatbot</x:v>
      </x:c>
      <x:c r="I9" s="55" t="str">
        <x:v>Chatbot platform</x:v>
      </x:c>
      <x:c r="J9" s="55" t="str">
        <x:v>AI/chatbot vendor, cloud provider</x:v>
      </x:c>
      <x:c r="K9" s="55" t="str">
        <x:v>Support team, vendor</x:v>
      </x:c>
      <x:c r="L9" s="55" t="str">
        <x:v>Define retention for chat logs</x:v>
      </x:c>
      <x:c r="M9" s="55" t="str">
        <x:v>Redaction, access controls, logging</x:v>
      </x:c>
      <x:c r="N9" s="55" t="str">
        <x:v>Chatbot privacy notice v1</x:v>
      </x:c>
      <x:c r="O9" s="55" t="str">
        <x:v>Consent/notice where personal data captured</x:v>
      </x:c>
      <x:c r="P9" s="55" t="str">
        <x:v>Rights workflow for chat records</x:v>
      </x:c>
      <x:c r="Q9" s="55" t="str">
        <x:v>DPDP grievance channel</x:v>
      </x:c>
      <x:c r="R9" s="55" t="str">
        <x:v>Possible</x:v>
      </x:c>
      <x:c r="S9" s="55" t="str">
        <x:v>Likely / Unknown</x:v>
      </x:c>
      <x:c r="T9" s="55" t="str">
        <x:v>Yes</x:v>
      </x:c>
      <x:c r="U9" s="55" t="str">
        <x:v>AI risk assessment, vendor DPA</x:v>
      </x:c>
      <x:c r="V9" s="55" t="str">
        <x:v>High</x:v>
      </x:c>
      <x:c r="W9" s="74" t="n">
        <x:v>46268</x:v>
      </x:c>
      <x:c r="X9" s="74" t="n">
        <x:v>46298</x:v>
      </x:c>
      <x:c r="Y9" s="53"/>
      <x:c r="Z9" s="53"/>
    </x:row>
    <x:row r="10">
      <x:c r="A10" s="55" t="str">
        <x:v>ROPA-009</x:v>
      </x:c>
      <x:c r="B10" s="55" t="str">
        <x:v>Event and webinar registration</x:v>
      </x:c>
      <x:c r="C10" s="55" t="str">
        <x:v>Event owner / Communications</x:v>
      </x:c>
      <x:c r="D10" s="55" t="str">
        <x:v>Student, faculty, external participants</x:v>
      </x:c>
      <x:c r="E10" s="55" t="str">
        <x:v>Name, email, mobile, institution, photos/videos if applicable</x:v>
      </x:c>
      <x:c r="F10" s="55" t="str">
        <x:v>Event administration and communication</x:v>
      </x:c>
      <x:c r="G10" s="55" t="str">
        <x:v>Consent/legitimate use to be reviewed</x:v>
      </x:c>
      <x:c r="H10" s="55" t="str">
        <x:v>Google/Microsoft Forms, website</x:v>
      </x:c>
      <x:c r="I10" s="55" t="str">
        <x:v>Forms, email platform</x:v>
      </x:c>
      <x:c r="J10" s="55" t="str">
        <x:v>Form provider, email/SMS vendor</x:v>
      </x:c>
      <x:c r="K10" s="55" t="str">
        <x:v>Event team, speakers, partners where applicable</x:v>
      </x:c>
      <x:c r="L10" s="55" t="str">
        <x:v>Short retention unless legally/operationally needed</x:v>
      </x:c>
      <x:c r="M10" s="55" t="str">
        <x:v>Access restrictions, export control</x:v>
      </x:c>
      <x:c r="N10" s="55" t="str">
        <x:v>Event notice v1</x:v>
      </x:c>
      <x:c r="O10" s="55" t="str">
        <x:v>Consent for media/marketing where applicable</x:v>
      </x:c>
      <x:c r="P10" s="55" t="str">
        <x:v>Access/erasure workflow</x:v>
      </x:c>
      <x:c r="Q10" s="55" t="str">
        <x:v>DPDP grievance channel</x:v>
      </x:c>
      <x:c r="R10" s="55" t="str">
        <x:v>Possible</x:v>
      </x:c>
      <x:c r="S10" s="55" t="str">
        <x:v>Possible</x:v>
      </x:c>
      <x:c r="T10" s="55" t="str">
        <x:v>No</x:v>
      </x:c>
      <x:c r="U10" s="55" t="str">
        <x:v>Event form, notice, consent text</x:v>
      </x:c>
      <x:c r="V10" s="55" t="str">
        <x:v>Medium</x:v>
      </x:c>
      <x:c r="W10" s="74" t="n">
        <x:v>46268</x:v>
      </x:c>
      <x:c r="X10" s="74" t="n">
        <x:v>46298</x:v>
      </x:c>
      <x:c r="Y10" s="53"/>
      <x:c r="Z10" s="53"/>
    </x:row>
    <x:row r="11">
      <x:c r="A11" s="55" t="str">
        <x:v>ROPA-010</x:v>
      </x:c>
      <x:c r="B11" s="55" t="str">
        <x:v>Alumni communications</x:v>
      </x:c>
      <x:c r="C11" s="55" t="str">
        <x:v>Alumni Cell</x:v>
      </x:c>
      <x:c r="D11" s="55" t="str">
        <x:v>Alumni</x:v>
      </x:c>
      <x:c r="E11" s="55" t="str">
        <x:v>Name, email, mobile, graduation year, employment details</x:v>
      </x:c>
      <x:c r="F11" s="55" t="str">
        <x:v>Alumni engagement, updates, events, donations</x:v>
      </x:c>
      <x:c r="G11" s="55" t="str">
        <x:v>Consent/legitimate use to be reviewed</x:v>
      </x:c>
      <x:c r="H11" s="55" t="str">
        <x:v>Alumni portal, forms, legacy records</x:v>
      </x:c>
      <x:c r="I11" s="55" t="str">
        <x:v>Alumni portal, CRM/email tool</x:v>
      </x:c>
      <x:c r="J11" s="55" t="str">
        <x:v>CRM/email vendor, cloud provider</x:v>
      </x:c>
      <x:c r="K11" s="55" t="str">
        <x:v>Alumni team, event partners where applicable</x:v>
      </x:c>
      <x:c r="L11" s="55" t="str">
        <x:v>As per alumni policy and withdrawal</x:v>
      </x:c>
      <x:c r="M11" s="55" t="str">
        <x:v>Access controls, unsubscribe/withdrawal logs</x:v>
      </x:c>
      <x:c r="N11" s="55" t="str">
        <x:v>Alumni notice v1</x:v>
      </x:c>
      <x:c r="O11" s="55" t="str">
        <x:v>Consent/withdrawal logs</x:v>
      </x:c>
      <x:c r="P11" s="55" t="str">
        <x:v>Access/correction/erasure workflow</x:v>
      </x:c>
      <x:c r="Q11" s="55" t="str">
        <x:v>DPDP grievance channel</x:v>
      </x:c>
      <x:c r="R11" s="55" t="str">
        <x:v>No</x:v>
      </x:c>
      <x:c r="S11" s="55" t="str">
        <x:v>Unknown</x:v>
      </x:c>
      <x:c r="T11" s="55" t="str">
        <x:v>No</x:v>
      </x:c>
      <x:c r="U11" s="55" t="str">
        <x:v>CRM export, notice, consent evidence</x:v>
      </x:c>
      <x:c r="V11" s="55" t="str">
        <x:v>Medium</x:v>
      </x:c>
      <x:c r="W11" s="74" t="n">
        <x:v>46268</x:v>
      </x:c>
      <x:c r="X11" s="74" t="n">
        <x:v>46298</x:v>
      </x:c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62"/>
      <x:c r="X12" s="62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62"/>
      <x:c r="X13" s="62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62"/>
      <x:c r="X14" s="62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62"/>
      <x:c r="X15" s="62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62"/>
      <x:c r="X16" s="62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62"/>
      <x:c r="X17" s="62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62"/>
      <x:c r="X18" s="62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62"/>
      <x:c r="X19" s="62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62"/>
      <x:c r="X20" s="62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pageMargins left="0.7" right="0.7" top="0.75" bottom="0.75" header="0.3" footer="0.3"/>
  <x:tableParts count="1">
    <x:tablePart xmlns:r="http://schemas.openxmlformats.org/officeDocument/2006/relationships" r:id="Reb54e808572042c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.5" hidden="0" customWidth="1"/>
    <x:col min="3" max="3" width="10.630000114440918" hidden="0" customWidth="1"/>
    <x:col min="4" max="4" width="11.880000114440918" hidden="0" customWidth="1"/>
    <x:col min="5" max="5" width="16.25" hidden="0" customWidth="1"/>
    <x:col min="6" max="6" width="10" hidden="0" customWidth="1"/>
    <x:col min="7" max="7" width="8.25" hidden="0" customWidth="1"/>
    <x:col min="8" max="8" width="10.75" hidden="0" customWidth="1"/>
    <x:col min="9" max="9" width="42" hidden="0" customWidth="1"/>
  </x:cols>
  <x:sheetData>
    <x:row r="1">
      <x:c r="A1" s="63" t="str">
        <x:v>Assessment Version</x:v>
      </x:c>
      <x:c r="B1" s="63" t="str">
        <x:v>Assessment Date</x:v>
      </x:c>
      <x:c r="C1" s="63" t="str">
        <x:v>Overall Score</x:v>
      </x:c>
      <x:c r="D1" s="63" t="str">
        <x:v>Maturity Level</x:v>
      </x:c>
      <x:c r="E1" s="63" t="str">
        <x:v>Evidence Confidence</x:v>
      </x:c>
      <x:c r="F1" s="63" t="str">
        <x:v>Critical Gaps</x:v>
      </x:c>
      <x:c r="G1" s="63" t="str">
        <x:v>High Gaps</x:v>
      </x:c>
      <x:c r="H1" s="63" t="str">
        <x:v>Open Actions</x:v>
      </x:c>
      <x:c r="I1" s="63" t="str">
        <x:v>Comment</x:v>
      </x:c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 t="str">
        <x:v>V1 Baseline</x:v>
      </x:c>
      <x:c r="B2" s="62" t="n">
        <x:v>46268</x:v>
      </x:c>
      <x:c r="C2" s="53" t="n">
        <x:f>Dashboard!B7</x:f>
        <x:v>24.701428571428576</x:v>
      </x:c>
      <x:c r="D2" s="53" t="str">
        <x:f>Dashboard!B8</x:f>
        <x:v>Level 1 - Aware</x:v>
      </x:c>
      <x:c r="E2" s="67" t="n">
        <x:f>Dashboard!F8</x:f>
        <x:v>0.23903273809523812</x:v>
      </x:c>
      <x:c r="F2" s="53" t="n">
        <x:f>Dashboard!F5</x:f>
        <x:v>10</x:v>
      </x:c>
      <x:c r="G2" s="53" t="n">
        <x:f>Dashboard!F6</x:f>
        <x:v>57</x:v>
      </x:c>
      <x:c r="H2" s="53" t="n">
        <x:f>Dashboard!F7</x:f>
        <x:v>98</x:v>
      </x:c>
      <x:c r="I2" s="53" t="str">
        <x:v>Baseline score from current Responses sheet.</x:v>
      </x:c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 t="str">
        <x:v>V2 30-Day Reassessment</x:v>
      </x:c>
      <x:c r="B3" s="62" t="n">
        <x:v>46298</x:v>
      </x:c>
      <x:c r="C3" s="53" t="str"/>
      <x:c r="D3" s="53" t="str"/>
      <x:c r="E3" s="67" t="str"/>
      <x:c r="F3" s="53" t="str"/>
      <x:c r="G3" s="53" t="str"/>
      <x:c r="H3" s="53" t="str"/>
      <x:c r="I3" s="53" t="str">
        <x:v>Use after 30-day quick-win sprint.</x:v>
      </x:c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3" t="str">
        <x:v>V3 90-Day Reassessment</x:v>
      </x:c>
      <x:c r="B4" s="62" t="n">
        <x:v>46358</x:v>
      </x:c>
      <x:c r="C4" s="53" t="str"/>
      <x:c r="D4" s="53" t="str"/>
      <x:c r="E4" s="67" t="str"/>
      <x:c r="F4" s="53" t="str"/>
      <x:c r="G4" s="53" t="str"/>
      <x:c r="H4" s="53" t="str"/>
      <x:c r="I4" s="53" t="str">
        <x:v>Use after 90-day adoption sprint.</x:v>
      </x:c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3" t="str">
        <x:v>V4 180-Day Review</x:v>
      </x:c>
      <x:c r="B5" s="62" t="n">
        <x:v>46448</x:v>
      </x:c>
      <x:c r="C5" s="53" t="str"/>
      <x:c r="D5" s="53" t="str"/>
      <x:c r="E5" s="67" t="str"/>
      <x:c r="F5" s="53" t="str"/>
      <x:c r="G5" s="53" t="str"/>
      <x:c r="H5" s="53" t="str"/>
      <x:c r="I5" s="53" t="str">
        <x:v>Operational review.</x:v>
      </x:c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3" t="str">
        <x:v>V5 Annual / Continuous Review</x:v>
      </x:c>
      <x:c r="B6" s="62" t="n">
        <x:v>46633</x:v>
      </x:c>
      <x:c r="C6" s="53" t="str"/>
      <x:c r="D6" s="53" t="str"/>
      <x:c r="E6" s="67" t="str"/>
      <x:c r="F6" s="53" t="str"/>
      <x:c r="G6" s="53" t="str"/>
      <x:c r="H6" s="53" t="str"/>
      <x:c r="I6" s="53" t="str">
        <x:v>Annual or continuous assurance review.</x:v>
      </x:c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30" hidden="0" customWidth="1"/>
    <x:col min="4" max="4" width="28" hidden="0" customWidth="1"/>
    <x:col min="5" max="5" width="28" hidden="0" customWidth="1"/>
    <x:col min="6" max="6" width="45" hidden="0" customWidth="1"/>
  </x:cols>
  <x:sheetData>
    <x:row r="1">
      <x:c r="A1" s="63" t="str">
        <x:v>Overlay ID</x:v>
      </x:c>
      <x:c r="B1" s="63" t="str">
        <x:v>University-specific question</x:v>
      </x:c>
      <x:c r="C1" s="63" t="str">
        <x:v>Evidence Required</x:v>
      </x:c>
      <x:c r="D1" s="63" t="str">
        <x:v>Primary Owner</x:v>
      </x:c>
      <x:c r="E1" s="63" t="str">
        <x:v>TrustStack Module</x:v>
      </x:c>
      <x:c r="F1" s="63" t="str">
        <x:v>Recommended Action</x:v>
      </x:c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U1</x:v>
      </x:c>
      <x:c r="B2" s="55" t="str">
        <x:v>Are admissions, examination, ERP, LMS, HRMS, payment and grievance systems mapped as separate DPDP processes?</x:v>
      </x:c>
      <x:c r="C2" s="55" t="str">
        <x:v>University process map</x:v>
      </x:c>
      <x:c r="D2" s="55" t="str">
        <x:v>Registrar + IT</x:v>
      </x:c>
      <x:c r="E2" s="55" t="str">
        <x:v>ROPA / Data Inventory</x:v>
      </x:c>
      <x:c r="F2" s="55" t="str">
        <x:v>Map each process separately with owner, data and systems.</x:v>
      </x:c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U2</x:v>
      </x:c>
      <x:c r="B3" s="55" t="str">
        <x:v>Are affiliated colleges classified for each data flow as independent fiduciary, processor-like participant or data-sharing partner for operational purposes?</x:v>
      </x:c>
      <x:c r="C3" s="55" t="str">
        <x:v>University-college responsibility map</x:v>
      </x:c>
      <x:c r="D3" s="55" t="str">
        <x:v>Registrar + Legal</x:v>
      </x:c>
      <x:c r="E3" s="55" t="str">
        <x:v>ROPA / Governance</x:v>
      </x:c>
      <x:c r="F3" s="55" t="str">
        <x:v>Create data-sharing responsibility matrix.</x:v>
      </x:c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U3</x:v>
      </x:c>
      <x:c r="B4" s="55" t="str">
        <x:v>Are standard DPDP templates available for affiliated colleges?</x:v>
      </x:c>
      <x:c r="C4" s="55" t="str">
        <x:v>Template pack</x:v>
      </x:c>
      <x:c r="D4" s="55" t="str">
        <x:v>Academic Admin + Legal</x:v>
      </x:c>
      <x:c r="E4" s="55" t="str">
        <x:v>Evidence Repository</x:v>
      </x:c>
      <x:c r="F4" s="55" t="str">
        <x:v>Create templates for notices, grievance, data sharing and evidence.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U4</x:v>
      </x:c>
      <x:c r="B5" s="55" t="str">
        <x:v>Are examination data access rights restricted and logged?</x:v>
      </x:c>
      <x:c r="C5" s="55" t="str">
        <x:v>Exam access control report</x:v>
      </x:c>
      <x:c r="D5" s="55" t="str">
        <x:v>Controller of Exams + IT</x:v>
      </x:c>
      <x:c r="E5" s="55" t="str">
        <x:v>Security Evidence Repository</x:v>
      </x:c>
      <x:c r="F5" s="55" t="str">
        <x:v>Create exam access matrix and log review process.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U5</x:v>
      </x:c>
      <x:c r="B6" s="55" t="str">
        <x:v>Are scholarship, category, concession and identity documents subject to stronger access controls?</x:v>
      </x:c>
      <x:c r="C6" s="55" t="str">
        <x:v>Sensitive document access matrix</x:v>
      </x:c>
      <x:c r="D6" s="55" t="str">
        <x:v>Scholarship Cell + IT</x:v>
      </x:c>
      <x:c r="E6" s="55" t="str">
        <x:v>Security Evidence Repository</x:v>
      </x:c>
      <x:c r="F6" s="55" t="str">
        <x:v>Restrict access and implement masking/logging.</x:v>
      </x:c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U6</x:v>
      </x:c>
      <x:c r="B7" s="55" t="str">
        <x:v>Are students and parents clearly informed about data use during admissions and student lifecycle?</x:v>
      </x:c>
      <x:c r="C7" s="55" t="str">
        <x:v>Admission/student notices</x:v>
      </x:c>
      <x:c r="D7" s="55" t="str">
        <x:v>Admissions + Legal</x:v>
      </x:c>
      <x:c r="E7" s="55" t="str">
        <x:v>Notice Register</x:v>
      </x:c>
      <x:c r="F7" s="55" t="str">
        <x:v>Create admission and student lifecycle notices.</x:v>
      </x:c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U7</x:v>
      </x:c>
      <x:c r="B8" s="55" t="str">
        <x:v>Is there a standard process for student correction requests across university and affiliated colleges?</x:v>
      </x:c>
      <x:c r="C8" s="55" t="str">
        <x:v>Student correction SOP</x:v>
      </x:c>
      <x:c r="D8" s="55" t="str">
        <x:v>Registrar + IT</x:v>
      </x:c>
      <x:c r="E8" s="55" t="str">
        <x:v>Rights Workflow</x:v>
      </x:c>
      <x:c r="F8" s="55" t="str">
        <x:v>Define correction workflow and downstream updates.</x:v>
      </x:c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 t="str">
        <x:v>U8</x:v>
      </x:c>
      <x:c r="B9" s="55" t="str">
        <x:v>Are research projects involving personal data assessed separately?</x:v>
      </x:c>
      <x:c r="C9" s="55" t="str">
        <x:v>Research data checklist</x:v>
      </x:c>
      <x:c r="D9" s="55" t="str">
        <x:v>Research Cell + Legal</x:v>
      </x:c>
      <x:c r="E9" s="55" t="str">
        <x:v>DPIA / AI Risk Register</x:v>
      </x:c>
      <x:c r="F9" s="55" t="str">
        <x:v>Introduce research data review checklist.</x:v>
      </x:c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 t="str">
        <x:v>U9</x:v>
      </x:c>
      <x:c r="B10" s="55" t="str">
        <x:v>Are events, webinars and student competitions collecting only necessary data?</x:v>
      </x:c>
      <x:c r="C10" s="55" t="str">
        <x:v>Event form checklist</x:v>
      </x:c>
      <x:c r="D10" s="55" t="str">
        <x:v>Event Owner</x:v>
      </x:c>
      <x:c r="E10" s="55" t="str">
        <x:v>Purpose / Notice Register</x:v>
      </x:c>
      <x:c r="F10" s="55" t="str">
        <x:v>Use event data minimisation checklist and notice.</x:v>
      </x:c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U10</x:v>
      </x:c>
      <x:c r="B11" s="55" t="str">
        <x:v>Are photos, videos and testimonials of students/faculty governed by consent and purpose clarity?</x:v>
      </x:c>
      <x:c r="C11" s="55" t="str">
        <x:v>Media consent template</x:v>
      </x:c>
      <x:c r="D11" s="55" t="str">
        <x:v>Communications + Legal</x:v>
      </x:c>
      <x:c r="E11" s="55" t="str">
        <x:v>Consent Register</x:v>
      </x:c>
      <x:c r="F11" s="55" t="str">
        <x:v>Create media consent and purpose template.</x:v>
      </x:c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55" hidden="0" customWidth="1"/>
  </x:cols>
  <x:sheetData>
    <x:row r="1">
      <x:c r="A1" s="63" t="str">
        <x:v>Source / Reference</x:v>
      </x:c>
      <x:c r="B1" s="63" t="str">
        <x:v>URL / Source</x:v>
      </x:c>
      <x:c r="C1" s="63" t="str">
        <x:v>Relevant for Workbook</x:v>
      </x:c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Official DPDP Act 2023 – MeitY PDF</x:v>
      </x:c>
      <x:c r="B2" s="55" t="str">
        <x:v>https://www.meity.gov.in/writereaddata/files/Digital%20Personal%20Data%20Protection%20Act%202023.pdf</x:v>
      </x:c>
      <x:c r="C2" s="55" t="str">
        <x:v>Definitions, applicability, consent, notice, Data Fiduciary/Data Processor responsibility, children’s data, SDF, penalties.</x:v>
      </x:c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Digital Personal Data Protection Rules 2025 – MeitY page</x:v>
      </x:c>
      <x:c r="B3" s="55" t="str">
        <x:v>https://www.meity.gov.in/documents/act-and-policies/digital-personal-data-protection-rules-2025-gDOxUjMtQWa</x:v>
      </x:c>
      <x:c r="C3" s="55" t="str">
        <x:v>Rules, commencement, notice requirements, security safeguards, breach, grievance, children’s consent, SDF obligations.</x:v>
      </x:c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Official Gazette PDF – DPDP Rules 2025</x:v>
      </x:c>
      <x:c r="B4" s="55" t="str">
        <x:v>https://www.meity.gov.in/static/uploads/2025/11/53450e6e5dc0bfa85ebd78686cadad39.pdf</x:v>
      </x:c>
      <x:c r="C4" s="55" t="str">
        <x:v>Gazette notification text of DPDP Rules 2025.</x:v>
      </x:c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TrustStack product collateral</x:v>
      </x:c>
      <x:c r="B5" s="55" t="str">
        <x:v>Attached TrustStack deck/flyer in ChatGPT conversation</x:v>
      </x:c>
      <x:c r="C5" s="55" t="str">
        <x:v>Used for platform positioning: readiness, evidence, records of processing, consent, notice, rights, grievance, vendors, breach, Sentinel roadmap.</x:v>
      </x:c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Legal caveat</x:v>
      </x:c>
      <x:c r="B6" s="55" t="str">
        <x:v>Internal workbook note</x:v>
      </x:c>
      <x:c r="C6" s="55" t="str">
        <x:v>Operational readiness tool only; final legal sign-off should be by qualified counsel.</x:v>
      </x:c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6" hidden="0" customWidth="1"/>
    <x:col min="4" max="4" width="18" hidden="0" customWidth="1"/>
    <x:col min="5" max="5" width="12" hidden="0" customWidth="1"/>
    <x:col min="6" max="6" width="46" hidden="0" customWidth="1"/>
  </x:cols>
  <x:sheetData>
    <x:row r="1" ht="28" customHeight="1">
      <x:c r="A1" s="97" t="str">
        <x:v>Step 12 – Excel MVP Validation with Sample Mumbai University Assessment</x:v>
      </x:c>
      <x:c r="B1" s="97"/>
      <x:c r="C1" s="97"/>
      <x:c r="D1" s="97"/>
      <x:c r="E1" s="97"/>
      <x:c r="F1" s="97"/>
      <x:c r="G1" s="82"/>
      <x:c r="H1" s="82"/>
      <x:c r="I1" s="82"/>
      <x:c r="J1" s="82"/>
    </x:row>
    <x:row r="2">
      <x:c r="A2" s="53"/>
      <x:c r="B2" s="53"/>
      <x:c r="C2" s="53"/>
      <x:c r="D2" s="53"/>
      <x:c r="E2" s="53"/>
      <x:c r="F2" s="53"/>
    </x:row>
    <x:row r="3">
      <x:c r="A3" s="98" t="str">
        <x:v>Validation Area</x:v>
      </x:c>
      <x:c r="B3" s="98" t="str">
        <x:v>Result / Link</x:v>
      </x:c>
      <x:c r="C3" s="53"/>
      <x:c r="D3" s="53"/>
      <x:c r="E3" s="53"/>
      <x:c r="F3" s="53"/>
    </x:row>
    <x:row r="4">
      <x:c r="A4" s="99" t="str">
        <x:v>Workbook tested</x:v>
      </x:c>
      <x:c r="B4" s="55" t="str">
        <x:v>TrustStack_DPDP_Compass_Excel_MVP_Structure.xlsx</x:v>
      </x:c>
      <x:c r="C4" s="53"/>
      <x:c r="D4" s="53"/>
      <x:c r="E4" s="53"/>
      <x:c r="F4" s="53"/>
    </x:row>
    <x:row r="5">
      <x:c r="A5" s="99" t="str">
        <x:v>Validation purpose</x:v>
      </x:c>
      <x:c r="B5" s="55" t="str">
        <x:v>Confirm structure, formulas, scoring, ROPA, dashboard, gaps, actions and reassessment readiness.</x:v>
      </x:c>
      <x:c r="C5" s="53"/>
      <x:c r="D5" s="53"/>
      <x:c r="E5" s="53"/>
      <x:c r="F5" s="53"/>
    </x:row>
    <x:row r="6">
      <x:c r="A6" s="99" t="str">
        <x:v>Current assessment</x:v>
      </x:c>
      <x:c r="B6" s="100" t="str">
        <x:f>Dashboard!B2</x:f>
        <x:v>Mumbai University DPDP Compass Baseline</x:v>
      </x:c>
      <x:c r="C6" s="53"/>
      <x:c r="D6" s="53"/>
      <x:c r="E6" s="53"/>
      <x:c r="F6" s="53"/>
    </x:row>
    <x:row r="7">
      <x:c r="A7" s="99" t="str">
        <x:v>Organisation</x:v>
      </x:c>
      <x:c r="B7" s="101" t="str">
        <x:f>Dashboard!E2</x:f>
        <x:v>Mumbai University</x:v>
      </x:c>
      <x:c r="C7" s="53"/>
      <x:c r="D7" s="53"/>
      <x:c r="E7" s="53"/>
      <x:c r="F7" s="53"/>
    </x:row>
    <x:row r="8">
      <x:c r="A8" s="99" t="str">
        <x:v>Assessment date</x:v>
      </x:c>
      <x:c r="B8" s="100" t="n">
        <x:f>Dashboard!H2</x:f>
        <x:v>46268</x:v>
      </x:c>
      <x:c r="C8" s="53"/>
      <x:c r="D8" s="53"/>
      <x:c r="E8" s="53"/>
      <x:c r="F8" s="53"/>
    </x:row>
    <x:row r="9">
      <x:c r="A9" s="99" t="str">
        <x:v>Adjusted DPDP score</x:v>
      </x:c>
      <x:c r="B9" s="101" t="n">
        <x:f>Dashboard!B7</x:f>
        <x:v>24.701428571428576</x:v>
      </x:c>
      <x:c r="C9" s="53"/>
      <x:c r="D9" s="53"/>
      <x:c r="E9" s="53"/>
      <x:c r="F9" s="53"/>
    </x:row>
    <x:row r="10">
      <x:c r="A10" s="99" t="str">
        <x:v>Maturity level</x:v>
      </x:c>
      <x:c r="B10" s="55" t="str">
        <x:f>Dashboard!B8</x:f>
        <x:v>Level 1 - Aware</x:v>
      </x:c>
      <x:c r="C10" s="53"/>
      <x:c r="D10" s="53"/>
      <x:c r="E10" s="53"/>
      <x:c r="F10" s="53"/>
    </x:row>
    <x:row r="11">
      <x:c r="A11" s="99" t="str">
        <x:v>Evidence confidence</x:v>
      </x:c>
      <x:c r="B11" s="66" t="n">
        <x:f>Dashboard!F8</x:f>
        <x:v>0.23903273809523812</x:v>
      </x:c>
      <x:c r="C11" s="53"/>
      <x:c r="D11" s="53"/>
      <x:c r="E11" s="53"/>
      <x:c r="F11" s="53"/>
    </x:row>
    <x:row r="12">
      <x:c r="A12" s="99" t="str">
        <x:v>Critical gaps</x:v>
      </x:c>
      <x:c r="B12" s="106" t="n">
        <x:f>Dashboard!F5</x:f>
        <x:v>10</x:v>
      </x:c>
      <x:c r="C12" s="53"/>
      <x:c r="D12" s="53"/>
      <x:c r="E12" s="53"/>
      <x:c r="F12" s="53"/>
    </x:row>
    <x:row r="13">
      <x:c r="A13" s="99" t="str">
        <x:v>High gaps</x:v>
      </x:c>
      <x:c r="B13" s="106" t="n">
        <x:f>Dashboard!F6</x:f>
        <x:v>57</x:v>
      </x:c>
      <x:c r="C13" s="53"/>
      <x:c r="D13" s="53"/>
      <x:c r="E13" s="53"/>
      <x:c r="F13" s="53"/>
    </x:row>
    <x:row r="14">
      <x:c r="A14" s="99" t="str">
        <x:v>ROPA domain score</x:v>
      </x:c>
      <x:c r="B14" s="101" t="n">
        <x:f>Dashboard!F9</x:f>
        <x:v>1.0499999999999998</x:v>
      </x:c>
      <x:c r="C14" s="53"/>
      <x:c r="D14" s="53"/>
      <x:c r="E14" s="53"/>
      <x:c r="F14" s="53"/>
    </x:row>
    <x:row r="15">
      <x:c r="A15" s="99" t="str">
        <x:v>Overall validation conclusion</x:v>
      </x:c>
      <x:c r="B15" s="55" t="str">
        <x:v>PASS – Workbook is structurally usable as an Excel MVP. Step 12 found and corrected the domain-weight total to 100. Sample data indicates a deliberately low baseline requiring remediation.</x:v>
      </x:c>
      <x:c r="C15" s="53"/>
      <x:c r="D15" s="53"/>
      <x:c r="E15" s="53"/>
      <x:c r="F15" s="53"/>
    </x:row>
    <x:row r="16">
      <x:c r="A16" s="53"/>
      <x:c r="B16" s="53"/>
      <x:c r="C16" s="53"/>
      <x:c r="D16" s="53"/>
      <x:c r="E16" s="53"/>
      <x:c r="F16" s="53"/>
    </x:row>
    <x:row r="17">
      <x:c r="A17" s="53"/>
      <x:c r="B17" s="53"/>
      <x:c r="C17" s="53"/>
      <x:c r="D17" s="53"/>
      <x:c r="E17" s="53"/>
      <x:c r="F17" s="53"/>
    </x:row>
    <x:row r="18">
      <x:c r="A18" s="98" t="str">
        <x:v>Test ID</x:v>
      </x:c>
      <x:c r="B18" s="98" t="str">
        <x:v>Validation Test</x:v>
      </x:c>
      <x:c r="C18" s="98" t="str">
        <x:v>Expected Result</x:v>
      </x:c>
      <x:c r="D18" s="98" t="str">
        <x:v>Observed Result</x:v>
      </x:c>
      <x:c r="E18" s="98" t="str">
        <x:v>Status</x:v>
      </x:c>
      <x:c r="F18" s="98" t="str">
        <x:v>Notes</x:v>
      </x:c>
    </x:row>
    <x:row r="19">
      <x:c r="A19" s="55" t="str">
        <x:v>T01</x:v>
      </x:c>
      <x:c r="B19" s="55" t="str">
        <x:v>Question bank row count</x:v>
      </x:c>
      <x:c r="C19" s="55" t="str">
        <x:v>98 core questions</x:v>
      </x:c>
      <x:c r="D19" s="106" t="n">
        <x:f>COUNTA(Question_Bank!A2:A200)</x:f>
        <x:v>98</x:v>
      </x:c>
      <x:c r="E19" s="55" t="str">
        <x:f>IF(D19=98,"PASS","CHECK")</x:f>
        <x:v>PASS</x:v>
      </x:c>
      <x:c r="F19" s="55" t="str">
        <x:v>Confirms core question bank count.</x:v>
      </x:c>
    </x:row>
    <x:row r="20">
      <x:c r="A20" s="55" t="str">
        <x:v>T02</x:v>
      </x:c>
      <x:c r="B20" s="55" t="str">
        <x:v>Response row count</x:v>
      </x:c>
      <x:c r="C20" s="55" t="str">
        <x:v>98 response rows</x:v>
      </x:c>
      <x:c r="D20" s="106" t="n">
        <x:f>COUNTA(Responses!A2:A200)</x:f>
        <x:v>98</x:v>
      </x:c>
      <x:c r="E20" s="55" t="str">
        <x:f>IF(D20=98,"PASS","CHECK")</x:f>
        <x:v>PASS</x:v>
      </x:c>
      <x:c r="F20" s="55" t="str">
        <x:v>Confirms every core question is available for scoring.</x:v>
      </x:c>
    </x:row>
    <x:row r="21">
      <x:c r="A21" s="55" t="str">
        <x:v>T03</x:v>
      </x:c>
      <x:c r="B21" s="55" t="str">
        <x:v>Domain count</x:v>
      </x:c>
      <x:c r="C21" s="55" t="str">
        <x:v>16 domains</x:v>
      </x:c>
      <x:c r="D21" s="106" t="n">
        <x:f>COUNTA(Domain_Scoring!A2:A17)</x:f>
        <x:v>16</x:v>
      </x:c>
      <x:c r="E21" s="55" t="str">
        <x:f>IF(D21=16,"PASS","CHECK")</x:f>
        <x:v>PASS</x:v>
      </x:c>
      <x:c r="F21" s="55" t="str">
        <x:v>Includes dedicated ROPA domain.</x:v>
      </x:c>
    </x:row>
    <x:row r="22">
      <x:c r="A22" s="55" t="str">
        <x:v>T04</x:v>
      </x:c>
      <x:c r="B22" s="55" t="str">
        <x:v>Domain weight total</x:v>
      </x:c>
      <x:c r="C22" s="55" t="str">
        <x:v>100 total weight</x:v>
      </x:c>
      <x:c r="D22" s="106" t="n">
        <x:f>SUM(Domain_Scoring!C2:C17)</x:f>
        <x:v>100</x:v>
      </x:c>
      <x:c r="E22" s="55" t="str">
        <x:f>IF(ROUND(D22,2)=100,"PASS","CHECK")</x:f>
        <x:v>PASS</x:v>
      </x:c>
      <x:c r="F22" s="55" t="str">
        <x:v>Confirms weighted scoring model.</x:v>
      </x:c>
    </x:row>
    <x:row r="23">
      <x:c r="A23" s="55" t="str">
        <x:v>T05</x:v>
      </x:c>
      <x:c r="B23" s="55" t="str">
        <x:v>ROPA question count</x:v>
      </x:c>
      <x:c r="C23" s="55" t="str">
        <x:v>8 ROPA questions</x:v>
      </x:c>
      <x:c r="D23" s="106" t="n">
        <x:f>COUNTIFS(Question_Bank!B2:B200,"D03")</x:f>
        <x:v>8</x:v>
      </x:c>
      <x:c r="E23" s="55" t="str">
        <x:f>IF(D23=8,"PASS","CHECK")</x:f>
        <x:v>PASS</x:v>
      </x:c>
      <x:c r="F23" s="55" t="str">
        <x:v>Confirms ROPA assessment section is included.</x:v>
      </x:c>
    </x:row>
    <x:row r="24">
      <x:c r="A24" s="55" t="str">
        <x:v>T06</x:v>
      </x:c>
      <x:c r="B24" s="55" t="str">
        <x:v>Mumbai University overlay</x:v>
      </x:c>
      <x:c r="C24" s="55" t="str">
        <x:v>10 MU overlay questions</x:v>
      </x:c>
      <x:c r="D24" s="106" t="n">
        <x:f>COUNTA(MU_Overlay!A2:A50)</x:f>
        <x:v>10</x:v>
      </x:c>
      <x:c r="E24" s="55" t="str">
        <x:f>IF(D24=10,"PASS","CHECK")</x:f>
        <x:v>PASS</x:v>
      </x:c>
      <x:c r="F24" s="55" t="str">
        <x:v>Confirms sector overlay exists.</x:v>
      </x:c>
    </x:row>
    <x:row r="25">
      <x:c r="A25" s="55" t="str">
        <x:v>T07</x:v>
      </x:c>
      <x:c r="B25" s="55" t="str">
        <x:v>ROPA register sample records</x:v>
      </x:c>
      <x:c r="C25" s="55" t="str">
        <x:v>10 sample processing records</x:v>
      </x:c>
      <x:c r="D25" s="106" t="n">
        <x:f>COUNTA(ROPA_Register!A2:A50)</x:f>
        <x:v>10</x:v>
      </x:c>
      <x:c r="E25" s="55" t="str">
        <x:f>IF(D25=10,"PASS","CHECK")</x:f>
        <x:v>PASS</x:v>
      </x:c>
      <x:c r="F25" s="55" t="str">
        <x:v>Admissions, examinations, ERP, LMS, HRMS, etc.</x:v>
      </x:c>
    </x:row>
    <x:row r="26">
      <x:c r="A26" s="55" t="str">
        <x:v>T08</x:v>
      </x:c>
      <x:c r="B26" s="55" t="str">
        <x:v>Score aggregation</x:v>
      </x:c>
      <x:c r="C26" s="55" t="str">
        <x:v>Dashboard score equals weighted domain score subject to cap</x:v>
      </x:c>
      <x:c r="D26" s="101" t="n">
        <x:f>Dashboard!B7</x:f>
        <x:v>24.701428571428576</x:v>
      </x:c>
      <x:c r="E26" s="55" t="str">
        <x:f>IF(ROUND(D26,2)=ROUND(MIN(SUM(Domain_Scoring!F2:F17),Dashboard!B6),2),"PASS","CHECK")</x:f>
        <x:v>PASS</x:v>
      </x:c>
      <x:c r="F26" s="55" t="str">
        <x:v>Checks score formula chain.</x:v>
      </x:c>
    </x:row>
    <x:row r="27">
      <x:c r="A27" s="55" t="str">
        <x:v>T09</x:v>
      </x:c>
      <x:c r="B27" s="55" t="str">
        <x:v>Evidence confidence range</x:v>
      </x:c>
      <x:c r="C27" s="55" t="str">
        <x:v>Between 0% and 100%</x:v>
      </x:c>
      <x:c r="D27" s="66" t="n">
        <x:f>Dashboard!F8</x:f>
        <x:v>0.23903273809523812</x:v>
      </x:c>
      <x:c r="E27" s="55" t="str">
        <x:f>IF(AND(D27&gt;=0,D27&lt;=1),"PASS","CHECK")</x:f>
        <x:v>PASS</x:v>
      </x:c>
      <x:c r="F27" s="55" t="str">
        <x:v>Confirms evidence confidence is bounded.</x:v>
      </x:c>
    </x:row>
    <x:row r="28">
      <x:c r="A28" s="55" t="str">
        <x:v>T10</x:v>
      </x:c>
      <x:c r="B28" s="55" t="str">
        <x:v>Critical gap stress test</x:v>
      </x:c>
      <x:c r="C28" s="55" t="str">
        <x:v>At least one critical gap in baseline</x:v>
      </x:c>
      <x:c r="D28" s="106" t="n">
        <x:f>Dashboard!F5</x:f>
        <x:v>10</x:v>
      </x:c>
      <x:c r="E28" s="55" t="str">
        <x:f>IF(D28&gt;=1,"PASS","CHECK")</x:f>
        <x:v>PASS</x:v>
      </x:c>
      <x:c r="F28" s="55" t="str">
        <x:v>Sample baseline intentionally has critical gaps.</x:v>
      </x:c>
    </x:row>
    <x:row r="29">
      <x:c r="A29" s="55" t="str">
        <x:v>T11</x:v>
      </x:c>
      <x:c r="B29" s="55" t="str">
        <x:v>High gap stress test</x:v>
      </x:c>
      <x:c r="C29" s="55" t="str">
        <x:v>At least one high gap in baseline</x:v>
      </x:c>
      <x:c r="D29" s="106" t="n">
        <x:f>Dashboard!F6</x:f>
        <x:v>57</x:v>
      </x:c>
      <x:c r="E29" s="55" t="str">
        <x:f>IF(D29&gt;=1,"PASS","CHECK")</x:f>
        <x:v>PASS</x:v>
      </x:c>
      <x:c r="F29" s="55" t="str">
        <x:v>Sample baseline intentionally has high gaps.</x:v>
      </x:c>
    </x:row>
    <x:row r="30">
      <x:c r="A30" s="55" t="str">
        <x:v>T12</x:v>
      </x:c>
      <x:c r="B30" s="55" t="str">
        <x:v>Reassessment schedule</x:v>
      </x:c>
      <x:c r="C30" s="55" t="str">
        <x:v>30-day reassessment gap</x:v>
      </x:c>
      <x:c r="D30" s="106" t="n">
        <x:f>Reassessment_Trend!B3-Reassessment_Trend!B2</x:f>
        <x:v>30</x:v>
      </x:c>
      <x:c r="E30" s="55" t="str">
        <x:f>IF(D30=30,"PASS","CHECK")</x:f>
        <x:v>PASS</x:v>
      </x:c>
      <x:c r="F30" s="55" t="str">
        <x:v>Confirms 30-day quick-win reassessment placeholder.</x:v>
      </x:c>
    </x:row>
    <x:row r="31">
      <x:c r="A31" s="55" t="str">
        <x:v>T13</x:v>
      </x:c>
      <x:c r="B31" s="55" t="str">
        <x:v>Formula error scan</x:v>
      </x:c>
      <x:c r="C31" s="55" t="str">
        <x:v>0 error matches</x:v>
      </x:c>
      <x:c r="D31" s="106" t="str">
        <x:v>0</x:v>
      </x:c>
      <x:c r="E31" s="55" t="str">
        <x:f>IF(D31=0,"PASS","CHECK")</x:f>
        <x:v>PASS</x:v>
      </x:c>
      <x:c r="F31" s="55" t="str">
        <x:v>External artifact_tool scan found zero spreadsheet formula error entries.</x:v>
      </x:c>
    </x:row>
    <x:row r="32">
      <x:c r="A32" s="55" t="str">
        <x:v>T14</x:v>
      </x:c>
      <x:c r="B32" s="55" t="str">
        <x:v>Dashboard readiness</x:v>
      </x:c>
      <x:c r="C32" s="55" t="str">
        <x:v>Dashboard populated</x:v>
      </x:c>
      <x:c r="D32" s="106" t="n">
        <x:f>IF(Dashboard!B7&gt;0,1,0)</x:f>
        <x:v>1</x:v>
      </x:c>
      <x:c r="E32" s="55" t="str">
        <x:f>IF(D32=1,"PASS","CHECK")</x:f>
        <x:v>PASS</x:v>
      </x:c>
      <x:c r="F32" s="55" t="str">
        <x:v>Executive dashboard has current score and interpretation.</x:v>
      </x:c>
    </x:row>
    <x:row r="33">
      <x:c r="A33" s="53"/>
      <x:c r="B33" s="53"/>
      <x:c r="C33" s="53"/>
      <x:c r="D33" s="53"/>
      <x:c r="E33" s="53"/>
      <x:c r="F33" s="53"/>
    </x:row>
    <x:row r="34">
      <x:c r="A34" s="53"/>
      <x:c r="B34" s="53"/>
      <x:c r="C34" s="53"/>
      <x:c r="D34" s="53"/>
      <x:c r="E34" s="53"/>
      <x:c r="F34" s="53"/>
    </x:row>
    <x:row r="35">
      <x:c r="A35" s="102" t="str">
        <x:v>Validation Findings and Pilot Notes</x:v>
      </x:c>
      <x:c r="B35" s="102"/>
      <x:c r="C35" s="102"/>
      <x:c r="D35" s="102"/>
      <x:c r="E35" s="102"/>
      <x:c r="F35" s="102"/>
    </x:row>
    <x:row r="36">
      <x:c r="A36" s="103" t="str">
        <x:v>Finding / Note</x:v>
      </x:c>
      <x:c r="B36" s="103" t="str">
        <x:v>Recommended handling</x:v>
      </x:c>
      <x:c r="C36" s="53"/>
      <x:c r="D36" s="53"/>
      <x:c r="E36" s="53"/>
      <x:c r="F36" s="53"/>
    </x:row>
    <x:row r="37">
      <x:c r="A37" s="55" t="str">
        <x:v>Workbook structure</x:v>
      </x:c>
      <x:c r="B37" s="55" t="str">
        <x:v>Usable for a controlled pilot with Mumbai University or another education client.</x:v>
      </x:c>
      <x:c r="C37" s="53"/>
      <x:c r="D37" s="53"/>
      <x:c r="E37" s="53"/>
      <x:c r="F37" s="53"/>
    </x:row>
    <x:row r="38">
      <x:c r="A38" s="55" t="str">
        <x:v>Sample score</x:v>
      </x:c>
      <x:c r="B38" s="55" t="str">
        <x:v>The 24.7/100 baseline is illustrative and intentionally low; replace with actual workshop responses and evidence.</x:v>
      </x:c>
      <x:c r="C38" s="53"/>
      <x:c r="D38" s="53"/>
      <x:c r="E38" s="53"/>
      <x:c r="F38" s="53"/>
    </x:row>
    <x:row r="39">
      <x:c r="A39" s="55" t="str">
        <x:v>ROPA</x:v>
      </x:c>
      <x:c r="B39" s="55" t="str">
        <x:v>ROPA is now explicitly included as both a scored domain and a processing activity register.</x:v>
      </x:c>
      <x:c r="C39" s="53"/>
      <x:c r="D39" s="53"/>
      <x:c r="E39" s="53"/>
      <x:c r="F39" s="53"/>
    </x:row>
    <x:row r="40">
      <x:c r="A40" s="55" t="str">
        <x:v>Evidence confidence</x:v>
      </x:c>
      <x:c r="B40" s="55" t="str">
        <x:v>Evidence confidence is low in the sample, which correctly signals that proof must be collected before claiming operational maturity.</x:v>
      </x:c>
      <x:c r="C40" s="53"/>
      <x:c r="D40" s="53"/>
      <x:c r="E40" s="53"/>
      <x:c r="F40" s="53"/>
    </x:row>
    <x:row r="41">
      <x:c r="A41" s="55" t="str">
        <x:v>Action tracker</x:v>
      </x:c>
      <x:c r="B41" s="55" t="str">
        <x:v>In this illustrative baseline, all 98 core response rows generate action records because all scores are low/partial. In live usage, use filters to focus on P0/P1 and open gaps.</x:v>
      </x:c>
      <x:c r="C41" s="53"/>
      <x:c r="D41" s="53"/>
      <x:c r="E41" s="53"/>
      <x:c r="F41" s="53"/>
    </x:row>
    <x:row r="42">
      <x:c r="A42" s="55" t="str">
        <x:v>Legal sign-off</x:v>
      </x:c>
      <x:c r="B42" s="55" t="str">
        <x:v>Lawful basis, notices, consent language, contracts and breach notifications should receive qualified legal review before use.</x:v>
      </x:c>
      <x:c r="C42" s="53"/>
      <x:c r="D42" s="53"/>
      <x:c r="E42" s="53"/>
      <x:c r="F42" s="53"/>
    </x:row>
    <x:row r="43">
      <x:c r="A43" s="55" t="str">
        <x:v>Next practical step</x:v>
      </x:c>
      <x:c r="B43" s="55" t="str">
        <x:v>Use this validated Excel MVP to create the professional sample DPDP Compass Assessment Report.</x:v>
      </x:c>
      <x:c r="C43" s="53"/>
      <x:c r="D43" s="53"/>
      <x:c r="E43" s="53"/>
      <x:c r="F43" s="53"/>
    </x:row>
    <x:row r="44">
      <x:c r="A44" s="107" t="str">
        <x:v>Step 12 correction applied</x:v>
      </x:c>
      <x:c r="B44" s="55" t="str">
        <x:v>Domain weights were normalised to a 100-point model: Governance 7, Inventory 8, ROPA 6, Purpose 7, Retention 6, SDF/AI 4; other weights retained.</x:v>
      </x:c>
      <x:c r="C44" s="53"/>
      <x:c r="D44" s="53"/>
      <x:c r="E44" s="53"/>
      <x:c r="F44" s="53"/>
    </x:row>
  </x:sheetData>
  <x:mergeCells>
    <x:mergeCell ref="A35:F35"/>
    <x:mergeCell ref="A1:F1"/>
  </x:mergeCells>
  <x:conditionalFormatting sqref="E19:E32">
    <x:cfRule type="expression" dxfId="5" priority="1">
      <x:formula>E19="PASS"</x:formula>
    </x:cfRule>
    <x:cfRule type="expression" dxfId="6" priority="2">
      <x:formula>E19="CHECK"</x:formula>
    </x:cfRule>
  </x:conditionalFormatting>
  <x:pageMargins left="0.7" right="0.7" top="0.75" bottom="0.75" header="0.3" footer="0.3"/>
</x:worksheet>
</file>